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e_1989\Downloads\"/>
    </mc:Choice>
  </mc:AlternateContent>
  <xr:revisionPtr revIDLastSave="0" documentId="13_ncr:1_{D9639B7E-F5C2-40C7-B290-42B7FD5494A9}" xr6:coauthVersionLast="47" xr6:coauthVersionMax="47" xr10:uidLastSave="{00000000-0000-0000-0000-000000000000}"/>
  <bookViews>
    <workbookView xWindow="-108" yWindow="-108" windowWidth="23256" windowHeight="12456" activeTab="1" xr2:uid="{2C4481B5-9486-4ED4-979E-59C61719FE9A}"/>
  </bookViews>
  <sheets>
    <sheet name="How to Use" sheetId="1" r:id="rId1"/>
    <sheet name="Assessment Bulk Upload" sheetId="2" r:id="rId2"/>
    <sheet name="Reference Data" sheetId="4" state="hidden" r:id="rId3"/>
  </sheets>
  <definedNames>
    <definedName name="QuestionTypes">'Reference Data'!$A$9:$A$11</definedName>
    <definedName name="ScoreDirections">'Reference Data'!$B$1:$B$2</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이강은</author>
  </authors>
  <commentList>
    <comment ref="C1" authorId="0" shapeId="0" xr:uid="{30944393-B30E-4628-8FCD-E0C03607D46D}">
      <text>
        <r>
          <rPr>
            <b/>
            <sz val="9"/>
            <color indexed="81"/>
            <rFont val="Tahoma"/>
            <family val="2"/>
          </rPr>
          <t>Scale weight = 1 (baseline)</t>
        </r>
      </text>
    </comment>
    <comment ref="C2" authorId="0" shapeId="0" xr:uid="{E0A6942E-BB44-43BA-A2A8-356CF0572E3E}">
      <text>
        <r>
          <rPr>
            <b/>
            <sz val="9"/>
            <color indexed="81"/>
            <rFont val="Tahoma"/>
            <family val="2"/>
          </rPr>
          <t>A/B Forced Choice weight = Scale max score (5) ÷ A/B input unit (6). Calculated automatically.</t>
        </r>
      </text>
    </comment>
    <comment ref="C3" authorId="0" shapeId="0" xr:uid="{86A7F8A5-8EE6-4442-AA98-CAB5ACA3E89D}">
      <text>
        <r>
          <rPr>
            <b/>
            <sz val="9"/>
            <color indexed="81"/>
            <rFont val="Tahoma"/>
            <family val="2"/>
          </rPr>
          <t>Essay does not use a weight, so it is 0.</t>
        </r>
      </text>
    </comment>
    <comment ref="H3" authorId="0" shapeId="0" xr:uid="{9A905221-2D5C-4ABD-BFBA-0F4CC5BD5721}">
      <text>
        <r>
          <rPr>
            <b/>
            <sz val="9"/>
            <color indexed="81"/>
            <rFont val="Tahoma"/>
            <family val="2"/>
          </rPr>
          <t>Kang-eun Lee:
A/B Forced Choice is entered on a 6-point scale, so this is used to convert it to the 5-point Scale basis.</t>
        </r>
      </text>
    </comment>
    <comment ref="A9" authorId="0" shapeId="0" xr:uid="{2912FC46-9917-487E-809E-1A73E0DD2C81}">
      <text>
        <r>
          <rPr>
            <b/>
            <sz val="9"/>
            <color indexed="81"/>
            <rFont val="Tahoma"/>
            <family val="2"/>
          </rPr>
          <t>Kang-eun Lee:
SINGLE_CHOICE("SC") // Scale</t>
        </r>
      </text>
    </comment>
    <comment ref="A10" authorId="0" shapeId="0" xr:uid="{2DD2AB00-C5A9-4FA9-86D4-9C6B892961D0}">
      <text>
        <r>
          <rPr>
            <b/>
            <sz val="9"/>
            <color indexed="81"/>
            <rFont val="Tahoma"/>
            <family val="2"/>
          </rPr>
          <t>Kang-eun Lee:
BIPOLAR("BI") // Bipolar (A/B Forced Choice)</t>
        </r>
      </text>
    </comment>
    <comment ref="A11" authorId="0" shapeId="0" xr:uid="{C5D5621D-AD07-4DB1-BF15-714B284D8FB1}">
      <text>
        <r>
          <rPr>
            <b/>
            <sz val="9"/>
            <color indexed="81"/>
            <rFont val="Tahoma"/>
            <family val="2"/>
          </rPr>
          <t>Kang-eun Lee:
LONG_ANSWER("LA") // Essay</t>
        </r>
      </text>
    </comment>
  </commentList>
</comments>
</file>

<file path=xl/sharedStrings.xml><?xml version="1.0" encoding="utf-8"?>
<sst xmlns="http://schemas.openxmlformats.org/spreadsheetml/2006/main" count="127" uniqueCount="115">
  <si>
    <t>·</t>
  </si>
  <si>
    <t>Hierarchy (Auto Mapping)</t>
  </si>
  <si>
    <t>Question (optional for A/B Forced Choice)</t>
  </si>
  <si>
    <t>Scale Options 1~5 (Editable)</t>
  </si>
  <si>
    <t>Score Weight (default 1)</t>
  </si>
  <si>
    <t>Etc</t>
  </si>
  <si>
    <t>★ Question Type</t>
  </si>
  <si>
    <t>Score 1</t>
  </si>
  <si>
    <t>Score 2</t>
  </si>
  <si>
    <t>Score 3</t>
  </si>
  <si>
    <t>Score 4</t>
  </si>
  <si>
    <t>Score 5</t>
  </si>
  <si>
    <t>★ Score Direction</t>
  </si>
  <si>
    <t>Weight</t>
  </si>
  <si>
    <t>Remark</t>
  </si>
  <si>
    <t>Scale</t>
  </si>
  <si>
    <t>Strongly Agree</t>
  </si>
  <si>
    <t>Agree</t>
  </si>
  <si>
    <t>Neutral</t>
  </si>
  <si>
    <t>Disagree</t>
  </si>
  <si>
    <t>Strongly Disagree</t>
  </si>
  <si>
    <t>A/B Forced Choice</t>
  </si>
  <si>
    <t>A→B(1~6)</t>
  </si>
  <si>
    <t>Essay</t>
  </si>
  <si>
    <t>Self</t>
    <phoneticPr fontId="2" type="noConversion"/>
  </si>
  <si>
    <t>Self-Awareness</t>
    <phoneticPr fontId="2" type="noConversion"/>
  </si>
  <si>
    <t>Scale</t>
    <phoneticPr fontId="2" type="noConversion"/>
  </si>
  <si>
    <t>I clearly recognize my own strengths and weaknesses.</t>
    <phoneticPr fontId="2" type="noConversion"/>
  </si>
  <si>
    <t>Strongly Agree</t>
    <phoneticPr fontId="2" type="noConversion"/>
  </si>
  <si>
    <t>Agree</t>
    <phoneticPr fontId="2" type="noConversion"/>
  </si>
  <si>
    <t>Neutral</t>
    <phoneticPr fontId="2" type="noConversion"/>
  </si>
  <si>
    <t>Disagree</t>
    <phoneticPr fontId="2" type="noConversion"/>
  </si>
  <si>
    <t>Strongly Disagree</t>
    <phoneticPr fontId="2" type="noConversion"/>
  </si>
  <si>
    <t>5-point scale basic</t>
    <phoneticPr fontId="2" type="noConversion"/>
  </si>
  <si>
    <t>How would you rate your level of self-management?</t>
    <phoneticPr fontId="2" type="noConversion"/>
  </si>
  <si>
    <t>Excellent</t>
    <phoneticPr fontId="2" type="noConversion"/>
  </si>
  <si>
    <t>Good</t>
    <phoneticPr fontId="2" type="noConversion"/>
  </si>
  <si>
    <t>Average</t>
    <phoneticPr fontId="2" type="noConversion"/>
  </si>
  <si>
    <t>Below Average</t>
    <phoneticPr fontId="2" type="noConversion"/>
  </si>
  <si>
    <t>Poor</t>
    <phoneticPr fontId="2" type="noConversion"/>
  </si>
  <si>
    <t>Custom option labels example</t>
    <phoneticPr fontId="2" type="noConversion"/>
  </si>
  <si>
    <t>Decision Making</t>
    <phoneticPr fontId="2" type="noConversion"/>
  </si>
  <si>
    <t>A/B Forced Choice</t>
    <phoneticPr fontId="2" type="noConversion"/>
  </si>
  <si>
    <t>Prioritize principles.</t>
    <phoneticPr fontId="2" type="noConversion"/>
  </si>
  <si>
    <t>Adapt flexibly to the situation.</t>
    <phoneticPr fontId="2" type="noConversion"/>
  </si>
  <si>
    <t>A→B(1~6)</t>
    <phoneticPr fontId="2" type="noConversion"/>
  </si>
  <si>
    <t>A/B Forced Choice (leave Question blank; weight auto-set to 5/6)</t>
    <phoneticPr fontId="2" type="noConversion"/>
  </si>
  <si>
    <t>Customer Value</t>
    <phoneticPr fontId="2" type="noConversion"/>
  </si>
  <si>
    <t>Essay</t>
    <phoneticPr fontId="2" type="noConversion"/>
  </si>
  <si>
    <t>Please describe a memorable episode.</t>
    <phoneticPr fontId="2" type="noConversion"/>
  </si>
  <si>
    <t>Essay (weight unused)</t>
    <phoneticPr fontId="2" type="noConversion"/>
  </si>
  <si>
    <t>Assessment Question Bulk Upload Template · How to Use</t>
  </si>
  <si>
    <t>Steps</t>
  </si>
  <si>
    <t>Enter Type · Competency Group · Sub Competency in columns A–C.</t>
  </si>
  <si>
    <t>Select the question type from the list in column D. (Scale / A/B Forced Choice / Essay)</t>
  </si>
  <si>
    <t>Column E (Question) is used only for Scale and Essay. For A/B Forced Choice the texts in columns P·Q are themselves the options, so leave column E blank.</t>
  </si>
  <si>
    <t>Fill in only the areas that light up for the chosen type. Leave grey areas empty.</t>
  </si>
  <si>
    <t>Before uploading, check that no yellow, orange, or red cells remain.</t>
  </si>
  <si>
    <t>Colour Guide</t>
  </si>
  <si>
    <t>Yellow</t>
  </si>
  <si>
    <t>A required cell that is still empty.</t>
  </si>
  <si>
    <t>Red</t>
  </si>
  <si>
    <t>The question type has not been selected, or the score is outside the 1–5 range.</t>
  </si>
  <si>
    <t>Grey</t>
  </si>
  <si>
    <t>A cell that does not need input for the selected question type.</t>
  </si>
  <si>
    <t>Input Areas by Question Type</t>
  </si>
  <si>
    <t>Use columns F–O (Option 1–5 texts and scores). Leave columns P–R blank.</t>
  </si>
  <si>
    <t>Enter 5 in Score 1 and 4·3·2·1 are filled in automatically; enter 1 and 2·3·4·5 are filled in, with the option texts matched accordingly.</t>
  </si>
  <si>
    <t>To change an option text yourself, simply type over that cell.</t>
  </si>
  <si>
    <t>Use columns P–R (A Left Text · B Right Text · Score Direction). Leave column E (Question) and columns F–O blank.</t>
  </si>
  <si>
    <t>Enter columns A–E only, and leave columns F–R all blank.</t>
  </si>
  <si>
    <t>Score Direction</t>
  </si>
  <si>
    <t>A/B Forced Choice uses a 6-point scale. Choose either A→B(1~6) or A→B(6~1); this is unrelated to the 1–5 limit of the Scale type.</t>
  </si>
  <si>
    <t>Cautions</t>
  </si>
  <si>
    <t>Scores accept whole numbers 1–5 only. Any other value is blocked.</t>
  </si>
  <si>
    <t>This sheet is protected so that formulas are not erased by accident. The input area (columns A–S) can be written, added, deleted, and sorted freely; only the headers and columns U–W are locked.</t>
  </si>
  <si>
    <t>A→B(6~1)</t>
  </si>
  <si>
    <t>Question Type Code</t>
  </si>
  <si>
    <t>SC</t>
  </si>
  <si>
    <t>BI</t>
  </si>
  <si>
    <t>LA</t>
  </si>
  <si>
    <t>Type Code</t>
  </si>
  <si>
    <t>Default Option Labels</t>
  </si>
  <si>
    <t>Default Score</t>
  </si>
  <si>
    <t>Min Allowed Score</t>
  </si>
  <si>
    <t>Max Allowed Score</t>
  </si>
  <si>
    <t>A/B Forced Choice Input Unit (Max Score)</t>
  </si>
  <si>
    <t>Question Type Name</t>
  </si>
  <si>
    <t>A</t>
  </si>
  <si>
    <t>Closer to A</t>
  </si>
  <si>
    <t>Somewhat closer to A</t>
  </si>
  <si>
    <t>Somewhat closer to B</t>
  </si>
  <si>
    <t>Closer to B</t>
  </si>
  <si>
    <t>B</t>
  </si>
  <si>
    <t>A/B Forced Choice Only</t>
    <phoneticPr fontId="2" type="noConversion"/>
  </si>
  <si>
    <t>★ Type
(Max 15 chars)</t>
  </si>
  <si>
    <t>★ Competency Group
(Max 15 chars)</t>
  </si>
  <si>
    <t>★ Sub Competency
(Max 15 chars)</t>
  </si>
  <si>
    <t>★ Question
(Max 300 chars)</t>
  </si>
  <si>
    <t>Option 1
(Max 30 chars)</t>
  </si>
  <si>
    <t>Option 2
(Max 30 chars)</t>
  </si>
  <si>
    <t>Option 3
(Max 30 chars)</t>
  </si>
  <si>
    <t>Option 4
(Max 30 chars)</t>
  </si>
  <si>
    <t>Option 5
(Max 30 chars)</t>
  </si>
  <si>
    <t>A Left Text
(Max 150 chars)</t>
  </si>
  <si>
    <t>B Right Text
(Max 150 chars)</t>
  </si>
  <si>
    <t>Assessment</t>
    <phoneticPr fontId="2" type="noConversion"/>
  </si>
  <si>
    <t xml:space="preserve">Refer to the examples in rows 3–6 of the [Assessment Bulk Upload] sheet. </t>
    <phoneticPr fontId="2" type="noConversion"/>
  </si>
  <si>
    <t xml:space="preserve">Type (Optional)
(Max 15 chars)</t>
  </si>
  <si>
    <t xml:space="preserve">Sub Competency (Optional)
(Max 15 chars)</t>
  </si>
  <si>
    <t xml:space="preserve">Type (Shown as Tabs)</t>
  </si>
  <si>
    <t xml:space="preserve">Hierarchy (Auto Mapping) · Competency Group required · Sub Competency optional</t>
  </si>
  <si>
    <t xml:space="preserve">Enter Type · Competency Group · Sub Competency in columns A–C. Competency Group (column B) is required; Type (column A) and Sub Competency (column C) are optional. Leave an unused column empty for all rows. (Filling only some rows causes an error.)</t>
  </si>
  <si>
    <t xml:space="preserve">Assessment Question Bulk Upload Template · How to Use · Type and Sub Competency are optional</t>
  </si>
  <si>
    <t xml:space="preserve">Type (column A) is shown as tabs on the response screen. Competency Group (column B) and Sub Competency (column C) are used to organize the response screen and to generate result reports (score aggregation, strength/weakness analysis, recommended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</si>
</sst>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charset val="129"/>
      <scheme val="minor"/>
    </font>
    <font>
      <b/>
      <sz val="14"/>
      <color rgb="FFFFFFFF"/>
      <name val="맑은 고딕"/>
      <family val="3"/>
      <charset val="129"/>
      <scheme val="minor"/>
    </font>
    <font>
      <sz val="8"/>
      <name val="맑은 고딕"/>
      <family val="2"/>
      <charset val="129"/>
      <scheme val="minor"/>
    </font>
    <font>
      <sz val="10"/>
      <color indexed="8"/>
      <name val="맑은 고딕"/>
      <family val="3"/>
      <charset val="129"/>
      <scheme val="minor"/>
    </font>
    <font>
      <b/>
      <sz val="11"/>
      <color rgb="FF1F3864"/>
      <name val="맑은 고딕"/>
      <family val="3"/>
      <charset val="129"/>
      <scheme val="minor"/>
    </font>
    <font>
      <b/>
      <sz val="10"/>
      <color indexed="8"/>
      <name val="맑은 고딕"/>
      <family val="3"/>
      <charset val="129"/>
      <scheme val="minor"/>
    </font>
    <font>
      <i/>
      <sz val="11"/>
      <color rgb="FF808080"/>
      <name val="맑은 고딕"/>
      <family val="2"/>
      <scheme val="minor"/>
    </font>
    <font>
      <b/>
      <sz val="10"/>
      <color rgb="FFFFFFFF"/>
      <name val="맑은 고딕"/>
      <family val="3"/>
      <charset val="129"/>
    </font>
    <font>
      <b/>
      <sz val="10"/>
      <color rgb="FF1F3864"/>
      <name val="맑은 고딕"/>
      <family val="3"/>
      <charset val="129"/>
    </font>
    <font>
      <i/>
      <sz val="10"/>
      <color rgb="FF808080"/>
      <name val="맑은 고딕"/>
      <family val="3"/>
      <charset val="129"/>
      <scheme val="minor"/>
    </font>
    <font>
      <sz val="11"/>
      <color indexed="8"/>
      <name val="맑은 고딕"/>
      <family val="2"/>
      <scheme val="minor"/>
    </font>
    <font>
      <sz val="10"/>
      <color rgb="FF000000"/>
      <name val="맑은 고딕"/>
      <family val="3"/>
      <charset val="129"/>
      <scheme val="minor"/>
    </font>
    <font>
      <b/>
      <sz val="11"/>
      <color indexed="8"/>
      <name val="맑은 고딕"/>
      <family val="2"/>
      <scheme val="minor"/>
    </font>
    <font>
      <b/>
      <sz val="11"/>
      <color indexed="8"/>
      <name val="맑은 고딕"/>
      <family val="3"/>
      <charset val="129"/>
      <scheme val="minor"/>
    </font>
    <font>
      <b/>
      <sz val="9"/>
      <color indexed="81"/>
      <name val="Tahoma"/>
      <family val="2"/>
    </font>
  </fonts>
  <fills count="8">
    <fill>
      <patternFill patternType="none"/>
    </fill>
    <fill>
      <patternFill patternType="gray125"/>
    </fill>
    <fill>
      <patternFill patternType="solid">
        <fgColor rgb="FF44546A"/>
        <bgColor indexed="64"/>
      </patternFill>
    </fill>
    <fill>
      <patternFill patternType="solid">
        <fgColor rgb="FFD9E1F2"/>
        <bgColor indexed="64"/>
      </patternFill>
    </fill>
    <fill>
      <patternFill patternType="solid">
        <fgColor rgb="FFFFF2CC"/>
        <bgColor indexed="64"/>
      </patternFill>
    </fill>
    <fill>
      <patternFill patternType="solid">
        <fgColor rgb="FFFFC7CE"/>
        <bgColor indexed="64"/>
      </patternFill>
    </fill>
    <fill>
      <patternFill patternType="solid">
        <fgColor rgb="FFD9D9D9"/>
        <bgColor indexed="64"/>
      </patternFill>
    </fill>
    <fill>
      <patternFill patternType="solid">
        <fgColor rgb="FFF2F2F2"/>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medium">
        <color rgb="FF44546A"/>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44546A"/>
      </left>
      <right style="medium">
        <color rgb="FF44546A"/>
      </right>
      <top/>
      <bottom/>
      <diagonal/>
    </border>
    <border>
      <left style="medium">
        <color rgb="FF44546A"/>
      </left>
      <right style="medium">
        <color rgb="FF44546A"/>
      </right>
      <top style="thin">
        <color rgb="FFBFBFBF"/>
      </top>
      <bottom style="thin">
        <color rgb="FFBFBFBF"/>
      </bottom>
      <diagonal/>
    </border>
    <border>
      <left style="medium">
        <color rgb="FF44546A"/>
      </left>
      <right/>
      <top style="thin">
        <color rgb="FFBFBFBF"/>
      </top>
      <bottom style="thin">
        <color rgb="FFBFBFBF"/>
      </bottom>
      <diagonal/>
    </border>
    <border>
      <left/>
      <right style="medium">
        <color rgb="FF44546A"/>
      </right>
      <top/>
      <bottom/>
      <diagonal/>
    </border>
    <border>
      <left style="medium">
        <color rgb="FF44546A"/>
      </left>
      <right/>
      <top/>
      <bottom/>
      <diagonal/>
    </border>
  </borders>
  <cellStyleXfs count="2">
    <xf numFmtId="0" fontId="0" fillId="0" borderId="0">
      <alignment vertical="center"/>
    </xf>
    <xf numFmtId="0" fontId="10" fillId="0" borderId="0">
      <alignment vertical="center"/>
    </xf>
  </cellStyleXfs>
  <cellXfs count="47">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3" fillId="0" borderId="0" xfId="0" applyFont="1" applyAlignment="1">
      <alignment horizontal="center" vertical="center"/>
    </xf>
    <xf numFmtId="0" fontId="3" fillId="0" borderId="0" xfId="0" quotePrefix="1" applyFont="1" applyAlignment="1">
      <alignment vertical="center" wrapText="1"/>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0" borderId="0" xfId="0" applyFont="1">
      <alignment vertical="center"/>
    </xf>
    <xf numFmtId="0" fontId="0" fillId="0" borderId="0" xfId="0" applyProtection="1">
      <alignment vertical="center"/>
      <protection locked="0"/>
    </xf>
    <xf numFmtId="0" fontId="3" fillId="0" borderId="1" xfId="0" applyFont="1" applyBorder="1" applyAlignment="1" applyProtection="1">
      <alignment horizontal="left" vertical="center"/>
      <protection locked="0"/>
    </xf>
    <xf numFmtId="0" fontId="3" fillId="0" borderId="2"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3" xfId="0" applyFont="1" applyBorder="1" applyAlignment="1" applyProtection="1">
      <alignment horizontal="left" vertical="center" wrapText="1"/>
      <protection locked="0"/>
    </xf>
    <xf numFmtId="0" fontId="3" fillId="0" borderId="5" xfId="0" applyFont="1" applyBorder="1" applyProtection="1">
      <alignment vertical="center"/>
      <protection locked="0"/>
    </xf>
    <xf numFmtId="1" fontId="3" fillId="0" borderId="1" xfId="0" applyNumberFormat="1" applyFont="1" applyBorder="1" applyAlignment="1" applyProtection="1">
      <alignment horizontal="center" vertical="center"/>
      <protection locked="0"/>
    </xf>
    <xf numFmtId="0" fontId="3" fillId="0" borderId="1" xfId="0" applyFont="1" applyBorder="1" applyProtection="1">
      <alignment vertical="center"/>
      <protection locked="0"/>
    </xf>
    <xf numFmtId="0" fontId="3" fillId="0" borderId="2" xfId="0" applyFont="1" applyBorder="1" applyProtection="1">
      <alignment vertical="center"/>
      <protection locked="0"/>
    </xf>
    <xf numFmtId="1" fontId="3" fillId="0" borderId="3" xfId="0" applyNumberFormat="1"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0" fillId="0" borderId="0" xfId="0" applyAlignment="1">
      <alignment horizontal="center" vertical="center"/>
    </xf>
    <xf numFmtId="0" fontId="12" fillId="0" borderId="0" xfId="0" applyFont="1">
      <alignment vertical="center"/>
    </xf>
    <xf numFmtId="0" fontId="13" fillId="0" borderId="0" xfId="0" applyFont="1">
      <alignment vertical="center"/>
    </xf>
    <xf numFmtId="0" fontId="7" fillId="2" borderId="0" xfId="0" applyFont="1" applyFill="1" applyAlignment="1">
      <alignment horizontal="center" vertical="center"/>
    </xf>
    <xf numFmtId="0" fontId="8" fillId="3" borderId="6"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6" fillId="0" borderId="0" xfId="0" applyFont="1" applyAlignment="1">
      <alignment vertical="center" wrapText="1"/>
    </xf>
    <xf numFmtId="0" fontId="0" fillId="0" borderId="0" xfId="0">
      <alignment vertical="center"/>
    </xf>
    <xf numFmtId="0" fontId="1" fillId="2" borderId="0" xfId="0" applyFont="1" applyFill="1" applyAlignment="1">
      <alignment horizontal="left" vertical="center" indent="1"/>
    </xf>
    <xf numFmtId="0" fontId="4" fillId="3" borderId="0" xfId="0" applyFont="1" applyFill="1" applyAlignment="1">
      <alignment vertical="center" indent="1"/>
    </xf>
    <xf numFmtId="0" fontId="7" fillId="2" borderId="0" xfId="0" applyFont="1" applyFill="1" applyAlignment="1">
      <alignment horizontal="center" vertical="center"/>
    </xf>
    <xf numFmtId="2" fontId="9" fillId="7" borderId="8" xfId="0" applyNumberFormat="1" applyFont="1" applyFill="1" applyBorder="1" applyAlignment="1" applyProtection="1">
      <alignment horizontal="center" vertical="center"/>
      <protection locked="0"/>
    </xf>
    <xf numFmtId="0" fontId="11" fillId="0" borderId="7" xfId="0" applyFont="1" applyBorder="1" applyAlignment="1" applyProtection="1">
      <alignment horizontal="center" vertical="center"/>
      <protection locked="0"/>
    </xf>
    <xf numFmtId="0" fontId="7" fillId="2" borderId="9" applyBorder="1" xfId="0" applyFont="1" applyFill="1" applyAlignment="1">
      <alignment horizontal="center" vertical="center"/>
    </xf>
    <xf numFmtId="0" fontId="8" fillId="3" borderId="3" xfId="0" applyFont="1" applyFill="1" applyBorder="1" applyAlignment="1">
      <alignment horizontal="center" vertical="center" wrapText="1"/>
    </xf>
    <xf numFmtId="0" fontId="3" fillId="0" borderId="3" xfId="0" applyFont="1" applyBorder="1" applyAlignment="1" applyProtection="1">
      <alignment horizontal="left" vertical="center"/>
      <protection locked="0"/>
    </xf>
    <xf numFmtId="0" fontId="7" fillId="2" borderId="10" applyBorder="1" xfId="0" applyFont="1" applyFill="1" applyAlignment="1">
      <alignment horizontal="center" vertical="center"/>
    </xf>
    <xf numFmtId="0" fontId="8" fillId="3" borderId="8" xfId="0" applyFont="1" applyFill="1" applyBorder="1" applyAlignment="1">
      <alignment horizontal="center" vertical="center" wrapText="1"/>
    </xf>
    <xf numFmtId="0" fontId="3" fillId="0" borderId="8" xfId="0" applyFont="1" applyBorder="1" applyAlignment="1" applyProtection="1">
      <alignment horizontal="left" vertical="center"/>
      <protection locked="0"/>
    </xf>
  </cellXfs>
  <cellStyles count="2">
    <cellStyle name="표준" xfId="0" builtinId="0"/>
    <cellStyle name="표준 2" xfId="1" xr:uid="{E816BE50-4213-47AE-A350-D01840FEEAB5}"/>
  </cellStyles>
  <dxfs count="11">
    <dxf>
      <fill>
        <patternFill patternType="solid">
          <fgColor indexed="64"/>
          <bgColor rgb="FFFFF2CC"/>
        </patternFill>
      </fill>
    </dxf>
    <dxf>
      <font>
        <color rgb="FFBFBFBF"/>
      </font>
      <fill>
        <patternFill patternType="solid">
          <fgColor indexed="64"/>
          <bgColor rgb="FFD9D9D9"/>
        </patternFill>
      </fill>
    </dxf>
    <dxf>
      <fill>
        <patternFill patternType="solid">
          <fgColor indexed="64"/>
          <bgColor rgb="FFFFF2CC"/>
        </patternFill>
      </fill>
    </dxf>
    <dxf>
      <font>
        <color rgb="FFBFBFBF"/>
      </font>
      <fill>
        <patternFill patternType="solid">
          <fgColor indexed="64"/>
          <bgColor rgb="FFD9D9D9"/>
        </patternFill>
      </fill>
    </dxf>
    <dxf>
      <fill>
        <patternFill patternType="solid">
          <fgColor indexed="64"/>
          <bgColor rgb="FFD9D9D9"/>
        </patternFill>
      </fill>
    </dxf>
    <dxf>
      <fill>
        <patternFill patternType="solid">
          <fgColor indexed="64"/>
          <bgColor rgb="FFFFF2CC"/>
        </patternFill>
      </fill>
    </dxf>
    <dxf>
      <font>
        <color rgb="FF9C0006"/>
      </font>
      <fill>
        <patternFill patternType="solid">
          <fgColor indexed="64"/>
          <bgColor rgb="FFFFC7CE"/>
        </patternFill>
      </fill>
    </dxf>
    <dxf>
      <font>
        <b/>
        <i val="0"/>
        <color rgb="FF974706"/>
      </font>
      <fill>
        <patternFill patternType="solid">
          <fgColor indexed="64"/>
          <bgColor rgb="FFFCD5B4"/>
        </patternFill>
      </fill>
    </dxf>
    <dxf>
      <font>
        <b/>
        <i val="0"/>
        <color rgb="FF974706"/>
      </font>
      <fill>
        <patternFill patternType="solid">
          <fgColor indexed="64"/>
          <bgColor rgb="FFFCD5B4"/>
        </patternFill>
      </fill>
    </dxf>
    <dxf>
      <fill>
        <patternFill patternType="solid">
          <fgColor indexed="64"/>
          <bgColor rgb="FFFFF2CC"/>
        </patternFill>
      </fill>
    </dxf>
    <dxf>
      <font>
        <b/>
        <i val="0"/>
        <color rgb="FF974706"/>
      </font>
      <fill>
        <patternFill patternType="solid">
          <fgColor indexed="64"/>
          <bgColor rgb="FFFCD5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5A52B5-3C95-47AE-8510-9CEB1B842E19}">
  <we:reference id="wa200009404" version="1.0.0.8" store="en-US" storeType="OMEX"/>
  <we:alternateReferences>
    <we:reference id="WA200009404" version="1.0.0.8" store="" storeType="OMEX"/>
  </we:alternateReferences>
  <we:properties>
    <we:property name="claude.fileId" value="&quot;fab07801-95ed-4c51-a4c9-446b6ad512e7&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53CCA-4138-4717-BA57-E5D9F60EE80F}">
  <dimension ref="A1:B26"/>
  <sheetViews>
    <sheetView zoomScaleNormal="100" workbookViewId="0">
      <selection activeCell="B8" sqref="B8"/>
    </sheetView>
  </sheetViews>
  <sheetFormatPr defaultRowHeight="17.399999999999999" x14ac:dyDescent="0.4"/>
  <cols>
    <col min="1" max="1" width="20" customWidth="1"/>
    <col min="2" max="2" width="151.09765625" bestFit="1" customWidth="1"/>
  </cols>
  <sheetData>
    <row r="1" spans="1:2" ht="21" x14ac:dyDescent="0.4">
      <c r="A1" s="36" t="s">
        <v>113</v>
      </c>
      <c r="B1" s="36"/>
    </row>
    <row r="2" spans="1:2" ht="19.95" customHeight="1" x14ac:dyDescent="0.4">
      <c r="A2" s="1"/>
      <c r="B2" s="2"/>
    </row>
    <row r="3" spans="1:2" ht="25.95" customHeight="1" x14ac:dyDescent="0.4">
      <c r="A3" s="37" t="s">
        <v>52</v>
      </c>
      <c r="B3" s="37"/>
    </row>
    <row r="4" spans="1:2" x14ac:dyDescent="0.4">
      <c r="A4" s="3">
        <v>1</v>
      </c>
      <c r="B4" s="4" t="s">
        <v>107</v>
      </c>
    </row>
    <row r="5" spans="1:2" x14ac:dyDescent="0.4">
      <c r="A5" s="3">
        <v>2</v>
      </c>
      <c r="B5" s="2" t="s">
        <v>112</v>
      </c>
    </row>
    <row r="6" spans="1:2" x14ac:dyDescent="0.4">
      <c r="A6" s="3">
        <v>3</v>
      </c>
      <c r="B6" s="2" t="s">
        <v>54</v>
      </c>
    </row>
    <row r="7" spans="1:2" x14ac:dyDescent="0.4">
      <c r="A7" s="3">
        <v>4</v>
      </c>
      <c r="B7" s="2" t="s">
        <v>55</v>
      </c>
    </row>
    <row r="8" spans="1:2" x14ac:dyDescent="0.4">
      <c r="A8" s="3">
        <v>5</v>
      </c>
      <c r="B8" s="2" t="s">
        <v>56</v>
      </c>
    </row>
    <row r="9" spans="1:2" x14ac:dyDescent="0.4">
      <c r="A9" s="3">
        <v>6</v>
      </c>
      <c r="B9" s="2" t="s">
        <v>57</v>
      </c>
    </row>
    <row r="10" spans="1:2" x14ac:dyDescent="0.4">
      <c r="A10" s="3">
        <v>7</v>
      </c>
      <c r="B10" s="2" t="s">
        <v>114</v>
      </c>
    </row>
    <row r="11" spans="1:2" ht="25.95" customHeight="1" x14ac:dyDescent="0.4">
      <c r="A11" s="37" t="s">
        <v>58</v>
      </c>
      <c r="B11" s="37"/>
    </row>
    <row r="12" spans="1:2" x14ac:dyDescent="0.4">
      <c r="A12" s="5" t="s">
        <v>59</v>
      </c>
      <c r="B12" s="2" t="s">
        <v>60</v>
      </c>
    </row>
    <row r="13" spans="1:2" x14ac:dyDescent="0.4">
      <c r="A13" s="6" t="s">
        <v>61</v>
      </c>
      <c r="B13" s="2" t="s">
        <v>62</v>
      </c>
    </row>
    <row r="14" spans="1:2" x14ac:dyDescent="0.4">
      <c r="A14" s="7" t="s">
        <v>63</v>
      </c>
      <c r="B14" s="2" t="s">
        <v>64</v>
      </c>
    </row>
    <row r="15" spans="1:2" ht="19.95" customHeight="1" x14ac:dyDescent="0.4">
      <c r="A15" s="1"/>
      <c r="B15" s="2"/>
    </row>
    <row r="16" spans="1:2" ht="25.95" customHeight="1" x14ac:dyDescent="0.4">
      <c r="A16" s="37" t="s">
        <v>65</v>
      </c>
      <c r="B16" s="37"/>
    </row>
    <row r="17" spans="1:2" x14ac:dyDescent="0.4">
      <c r="A17" s="8" t="s">
        <v>15</v>
      </c>
      <c r="B17" s="2" t="s">
        <v>66</v>
      </c>
    </row>
    <row r="18" spans="1:2" x14ac:dyDescent="0.4">
      <c r="A18" s="1"/>
      <c r="B18" s="2" t="s">
        <v>67</v>
      </c>
    </row>
    <row r="19" spans="1:2" x14ac:dyDescent="0.4">
      <c r="A19" s="1"/>
      <c r="B19" s="2" t="s">
        <v>68</v>
      </c>
    </row>
    <row r="20" spans="1:2" x14ac:dyDescent="0.4">
      <c r="A20" s="8" t="s">
        <v>21</v>
      </c>
      <c r="B20" s="2" t="s">
        <v>69</v>
      </c>
    </row>
    <row r="21" spans="1:2" x14ac:dyDescent="0.4">
      <c r="A21" s="8" t="s">
        <v>23</v>
      </c>
      <c r="B21" s="2" t="s">
        <v>70</v>
      </c>
    </row>
    <row r="22" spans="1:2" x14ac:dyDescent="0.4">
      <c r="A22" s="8" t="s">
        <v>71</v>
      </c>
      <c r="B22" s="2" t="s">
        <v>72</v>
      </c>
    </row>
    <row r="23" spans="1:2" ht="12" customHeight="1" x14ac:dyDescent="0.4"/>
    <row r="24" spans="1:2" ht="25.95" customHeight="1" x14ac:dyDescent="0.4">
      <c r="A24" s="37" t="s">
        <v>73</v>
      </c>
      <c r="B24" s="37"/>
    </row>
    <row r="25" spans="1:2" x14ac:dyDescent="0.4">
      <c r="A25" s="3" t="s">
        <v>0</v>
      </c>
      <c r="B25" s="2" t="s">
        <v>74</v>
      </c>
    </row>
    <row r="26" spans="1:2" ht="34.049999999999997" customHeight="1" x14ac:dyDescent="0.4">
      <c r="A26" s="34" t="s">
        <v>75</v>
      </c>
      <c r="B26" s="35"/>
    </row>
  </sheetData>
  <mergeCells count="6">
    <mergeCell ref="A26:B26"/>
    <mergeCell ref="A1:B1"/>
    <mergeCell ref="A3:B3"/>
    <mergeCell ref="A11:B11"/>
    <mergeCell ref="A16:B16"/>
    <mergeCell ref="A24:B24"/>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5BBF-76E4-40BE-8530-40ACAB5D7301}">
  <dimension ref="A1:U200"/>
  <sheetViews>
    <sheetView tabSelected="1" zoomScale="70" zoomScaleNormal="70" workbookViewId="0">
      <selection activeCell="A3" sqref="A3"/>
    </sheetView>
  </sheetViews>
  <sheetFormatPr defaultRowHeight="17.399999999999999" x14ac:dyDescent="0.4"/>
  <cols>
    <col min="1" max="3" width="26" style="9" customWidth="1"/>
    <col min="4" max="4" width="16.69921875" style="9" customWidth="1"/>
    <col min="5" max="5" width="50" style="9" customWidth="1"/>
    <col min="6" max="6" width="20" style="9" customWidth="1"/>
    <col min="7" max="7" width="8.69921875" style="9" customWidth="1"/>
    <col min="8" max="8" width="20" style="9" customWidth="1"/>
    <col min="9" max="9" width="8.69921875" style="9" customWidth="1"/>
    <col min="10" max="10" width="20" style="9" customWidth="1"/>
    <col min="11" max="11" width="8.69921875" style="9" customWidth="1"/>
    <col min="12" max="12" width="20" style="9" customWidth="1"/>
    <col min="13" max="13" width="8.69921875" style="9" customWidth="1"/>
    <col min="14" max="14" width="20" style="9" customWidth="1"/>
    <col min="15" max="15" width="8.69921875" style="9" customWidth="1"/>
    <col min="16" max="17" width="31.69921875" style="9" customWidth="1"/>
    <col min="18" max="18" width="18.296875" style="9" customWidth="1"/>
    <col min="19" max="20" width="21.5" hidden="1" customWidth="1"/>
    <col min="21" max="21" width="25" style="9" customWidth="1"/>
    <col min="22" max="22" width="8.796875" style="9"/>
    <col min="23" max="37" width="14.19921875" style="9" customWidth="1"/>
    <col min="38" max="16384" width="8.796875" style="9"/>
  </cols>
  <sheetData>
    <row r="1" spans="1:21" ht="25.95" customHeight="1" x14ac:dyDescent="0.4">
      <c r="A1" s="41" t="s">
        <v>110</v>
      </c>
      <c r="B1" s="44" t="s">
        <v>111</v>
      </c>
      <c r="C1" s="38"/>
      <c r="D1" s="38" t="s">
        <v>2</v>
      </c>
      <c r="E1" s="38"/>
      <c r="F1" s="38" t="s">
        <v>3</v>
      </c>
      <c r="G1" s="38"/>
      <c r="H1" s="38"/>
      <c r="I1" s="38"/>
      <c r="J1" s="38"/>
      <c r="K1" s="38"/>
      <c r="L1" s="38"/>
      <c r="M1" s="38"/>
      <c r="N1" s="38"/>
      <c r="O1" s="38"/>
      <c r="P1" s="38" t="s">
        <v>94</v>
      </c>
      <c r="Q1" s="38"/>
      <c r="R1" s="38"/>
      <c r="S1" s="26" t="s">
        <v>4</v>
      </c>
      <c r="T1" s="26" t="s">
        <v>77</v>
      </c>
      <c r="U1" s="26" t="s">
        <v>5</v>
      </c>
    </row>
    <row r="2" spans="1:21" ht="46.8" x14ac:dyDescent="0.4">
      <c r="A2" s="42" t="s">
        <v>108</v>
      </c>
      <c r="B2" s="45" t="s">
        <v>96</v>
      </c>
      <c r="C2" s="31" t="s">
        <v>109</v>
      </c>
      <c r="D2" s="33" t="s">
        <v>6</v>
      </c>
      <c r="E2" s="31" t="s">
        <v>98</v>
      </c>
      <c r="F2" s="32" t="s">
        <v>99</v>
      </c>
      <c r="G2" s="29" t="s">
        <v>7</v>
      </c>
      <c r="H2" s="29" t="s">
        <v>100</v>
      </c>
      <c r="I2" s="29" t="s">
        <v>8</v>
      </c>
      <c r="J2" s="29" t="s">
        <v>101</v>
      </c>
      <c r="K2" s="29" t="s">
        <v>9</v>
      </c>
      <c r="L2" s="29" t="s">
        <v>102</v>
      </c>
      <c r="M2" s="29" t="s">
        <v>10</v>
      </c>
      <c r="N2" s="30" t="s">
        <v>103</v>
      </c>
      <c r="O2" s="31" t="s">
        <v>11</v>
      </c>
      <c r="P2" s="32" t="s">
        <v>104</v>
      </c>
      <c r="Q2" s="30" t="s">
        <v>105</v>
      </c>
      <c r="R2" s="30" t="s">
        <v>12</v>
      </c>
      <c r="S2" s="27" t="s">
        <v>13</v>
      </c>
      <c r="T2" s="28" t="s">
        <v>81</v>
      </c>
      <c r="U2" s="32" t="s">
        <v>14</v>
      </c>
    </row>
    <row r="3" spans="1:21" ht="22.05" customHeight="1" x14ac:dyDescent="0.4">
      <c r="A3" s="43" t="s">
        <v>106</v>
      </c>
      <c r="B3" s="46" t="s">
        <v>24</v>
      </c>
      <c r="C3" s="12" t="s">
        <v>25</v>
      </c>
      <c r="D3" s="13" t="s">
        <v>26</v>
      </c>
      <c r="E3" s="14" t="s">
        <v>27</v>
      </c>
      <c r="F3" s="15" t="str">
        <f>IFERROR(INDEX('Reference Data'!$D$2:$D$6,MATCH($G3,'Reference Data'!$E$2:$E$6,0)),"")</f>
        <v>Strongly Agree</v>
      </c>
      <c r="G3" s="16">
        <f>IF($D3="Scale",'Reference Data'!$H$2,"")</f>
        <v>5</v>
      </c>
      <c r="H3" s="17" t="str">
        <f>IFERROR(INDEX('Reference Data'!$D$2:$D$6,MATCH($I3,'Reference Data'!$E$2:$E$6,0)),"")</f>
        <v>Agree</v>
      </c>
      <c r="I3" s="16">
        <f>IF($G3="","",MEDIAN('Reference Data'!$H$1,'Reference Data'!$H$2,$G3+1*IF($G3='Reference Data'!$H$2,-1,1)))</f>
        <v>4</v>
      </c>
      <c r="J3" s="17" t="str">
        <f>IFERROR(INDEX('Reference Data'!$D$2:$D$6,MATCH($K3,'Reference Data'!$E$2:$E$6,0)),"")</f>
        <v>Neutral</v>
      </c>
      <c r="K3" s="16">
        <f>IF($G3="","",MEDIAN('Reference Data'!$H$1,'Reference Data'!$H$2,$G3+2*IF($G3='Reference Data'!$H$2,-1,1)))</f>
        <v>3</v>
      </c>
      <c r="L3" s="17" t="str">
        <f>IFERROR(INDEX('Reference Data'!$D$2:$D$6,MATCH($M3,'Reference Data'!$E$2:$E$6,0)),"")</f>
        <v>Disagree</v>
      </c>
      <c r="M3" s="16">
        <f>IF($G3="","",MEDIAN('Reference Data'!$H$1,'Reference Data'!$H$2,$G3+3*IF($G3='Reference Data'!$H$2,-1,1)))</f>
        <v>2</v>
      </c>
      <c r="N3" s="18" t="str">
        <f>IFERROR(INDEX('Reference Data'!$D$2:$D$6,MATCH($O3,'Reference Data'!$E$2:$E$6,0)),"")</f>
        <v>Strongly Disagree</v>
      </c>
      <c r="O3" s="19">
        <f>IF($G3="","",MEDIAN('Reference Data'!$H$1,'Reference Data'!$H$2,$G3+4*IF($G3='Reference Data'!$H$2,-1,1)))</f>
        <v>1</v>
      </c>
      <c r="P3" s="15"/>
      <c r="Q3" s="18"/>
      <c r="R3" s="20"/>
      <c r="S3" s="39">
        <f>IF($D3="","",IF($D3='Reference Data'!$A$11,"",IFERROR(IF(VLOOKUP($D3,'Reference Data'!$A$9:$C$11,3,FALSE)="",1,VLOOKUP($D3,'Reference Data'!$A$9:$C$11,3,FALSE)),1)))</f>
        <v>1</v>
      </c>
      <c r="T3" s="40" t="str">
        <f>IF($D3="","",IFERROR(VLOOKUP($D3,'Reference Data'!$A$9:$B$11,2,FALSE),""))</f>
        <v>SC</v>
      </c>
      <c r="U3" s="15" t="s">
        <v>33</v>
      </c>
    </row>
    <row r="4" spans="1:21" ht="22.05" customHeight="1" x14ac:dyDescent="0.4">
      <c r="A4" s="43" t="s">
        <v>106</v>
      </c>
      <c r="B4" s="46" t="s">
        <v>24</v>
      </c>
      <c r="C4" s="12" t="s">
        <v>25</v>
      </c>
      <c r="D4" s="13" t="s">
        <v>26</v>
      </c>
      <c r="E4" s="14" t="s">
        <v>34</v>
      </c>
      <c r="F4" s="15" t="str">
        <f>IF($D4="Scale","Excellent","")</f>
        <v>Excellent</v>
      </c>
      <c r="G4" s="16">
        <f>IF($D4="Scale",'Reference Data'!$H$2,"")</f>
        <v>5</v>
      </c>
      <c r="H4" s="17" t="str">
        <f>IF($D4="Scale","Good","")</f>
        <v>Good</v>
      </c>
      <c r="I4" s="16">
        <f>IF($G4="","",MEDIAN('Reference Data'!$H$1,'Reference Data'!$H$2,$G4+1*IF($G4='Reference Data'!$H$2,-1,1)))</f>
        <v>4</v>
      </c>
      <c r="J4" s="17" t="str">
        <f>IF($D4="Scale","Average","")</f>
        <v>Average</v>
      </c>
      <c r="K4" s="16">
        <f>IF($G4="","",MEDIAN('Reference Data'!$H$1,'Reference Data'!$H$2,$G4+2*IF($G4='Reference Data'!$H$2,-1,1)))</f>
        <v>3</v>
      </c>
      <c r="L4" s="17" t="str">
        <f>IF($D4="Scale","Below Average","")</f>
        <v>Below Average</v>
      </c>
      <c r="M4" s="16">
        <f>IF($G4="","",MEDIAN('Reference Data'!$H$1,'Reference Data'!$H$2,$G4+3*IF($G4='Reference Data'!$H$2,-1,1)))</f>
        <v>2</v>
      </c>
      <c r="N4" s="18" t="str">
        <f>IF($D4="Scale","Poor","")</f>
        <v>Poor</v>
      </c>
      <c r="O4" s="19">
        <f>IF($G4="","",MEDIAN('Reference Data'!$H$1,'Reference Data'!$H$2,$G4+4*IF($G4='Reference Data'!$H$2,-1,1)))</f>
        <v>1</v>
      </c>
      <c r="P4" s="15"/>
      <c r="Q4" s="18"/>
      <c r="R4" s="20"/>
      <c r="S4" s="39">
        <f>IF($D4="","",IF($D4='Reference Data'!$A$11,"",IFERROR(IF(VLOOKUP($D4,'Reference Data'!$A$9:$C$11,3,FALSE)="",1,VLOOKUP($D4,'Reference Data'!$A$9:$C$11,3,FALSE)),1)))</f>
        <v>1</v>
      </c>
      <c r="T4" s="40" t="str">
        <f>IF($D4="","",IFERROR(VLOOKUP($D4,'Reference Data'!$A$9:$B$11,2,FALSE),""))</f>
        <v>SC</v>
      </c>
      <c r="U4" s="15" t="s">
        <v>40</v>
      </c>
    </row>
    <row r="5" spans="1:21" ht="22.05" customHeight="1" x14ac:dyDescent="0.4">
      <c r="A5" s="43" t="s">
        <v>106</v>
      </c>
      <c r="B5" s="46" t="s">
        <v>24</v>
      </c>
      <c r="C5" s="12" t="s">
        <v>41</v>
      </c>
      <c r="D5" s="13" t="s">
        <v>42</v>
      </c>
      <c r="E5" s="14"/>
      <c r="F5" s="15" t="str">
        <f>IFERROR(INDEX('Reference Data'!$D$2:$D$6,MATCH($G5,'Reference Data'!$E$2:$E$6,0)),"")</f>
        <v/>
      </c>
      <c r="G5" s="16" t="str">
        <f>IF($D5="Scale",'Reference Data'!$H$2,"")</f>
        <v/>
      </c>
      <c r="H5" s="17" t="str">
        <f>IFERROR(INDEX('Reference Data'!$D$2:$D$6,MATCH($I5,'Reference Data'!$E$2:$E$6,0)),"")</f>
        <v/>
      </c>
      <c r="I5" s="16" t="str">
        <f>IF($G5="","",MEDIAN('Reference Data'!$H$1,'Reference Data'!$H$2,$G5+1*IF($G5='Reference Data'!$H$2,-1,1)))</f>
        <v/>
      </c>
      <c r="J5" s="17" t="str">
        <f>IFERROR(INDEX('Reference Data'!$D$2:$D$6,MATCH($K5,'Reference Data'!$E$2:$E$6,0)),"")</f>
        <v/>
      </c>
      <c r="K5" s="16" t="str">
        <f>IF($G5="","",MEDIAN('Reference Data'!$H$1,'Reference Data'!$H$2,$G5+2*IF($G5='Reference Data'!$H$2,-1,1)))</f>
        <v/>
      </c>
      <c r="L5" s="17" t="str">
        <f>IFERROR(INDEX('Reference Data'!$D$2:$D$6,MATCH($M5,'Reference Data'!$E$2:$E$6,0)),"")</f>
        <v/>
      </c>
      <c r="M5" s="16" t="str">
        <f>IF($G5="","",MEDIAN('Reference Data'!$H$1,'Reference Data'!$H$2,$G5+3*IF($G5='Reference Data'!$H$2,-1,1)))</f>
        <v/>
      </c>
      <c r="N5" s="18" t="str">
        <f>IFERROR(INDEX('Reference Data'!$D$2:$D$6,MATCH($O5,'Reference Data'!$E$2:$E$6,0)),"")</f>
        <v/>
      </c>
      <c r="O5" s="19" t="str">
        <f>IF($G5="","",MEDIAN('Reference Data'!$H$1,'Reference Data'!$H$2,$G5+4*IF($G5='Reference Data'!$H$2,-1,1)))</f>
        <v/>
      </c>
      <c r="P5" s="15" t="str">
        <f>IF($D5="A/B Forced Choice","Prioritize principles.","")</f>
        <v>Prioritize principles.</v>
      </c>
      <c r="Q5" s="18" t="str">
        <f>IF($D5="A/B Forced Choice","Adapt flexibly to the situation.","")</f>
        <v>Adapt flexibly to the situation.</v>
      </c>
      <c r="R5" s="20" t="str">
        <f>IF($D5="A/B Forced Choice","A→B(1~6)","")</f>
        <v>A→B(1~6)</v>
      </c>
      <c r="S5" s="39">
        <f>IF($D5="","",IF($D5='Reference Data'!$A$11,"",IFERROR(IF(VLOOKUP($D5,'Reference Data'!$A$9:$C$11,3,FALSE)="",1,VLOOKUP($D5,'Reference Data'!$A$9:$C$11,3,FALSE)),1)))</f>
        <v>0.83333333333333337</v>
      </c>
      <c r="T5" s="40" t="str">
        <f>IF($D5="","",IFERROR(VLOOKUP($D5,'Reference Data'!$A$9:$B$11,2,FALSE),""))</f>
        <v>BI</v>
      </c>
      <c r="U5" s="15" t="s">
        <v>46</v>
      </c>
    </row>
    <row r="6" spans="1:21" ht="22.05" customHeight="1" x14ac:dyDescent="0.4">
      <c r="A6" s="43" t="s">
        <v>106</v>
      </c>
      <c r="B6" s="46" t="s">
        <v>47</v>
      </c>
      <c r="C6" s="12" t="s">
        <v>47</v>
      </c>
      <c r="D6" s="13" t="s">
        <v>48</v>
      </c>
      <c r="E6" s="14" t="s">
        <v>49</v>
      </c>
      <c r="F6" s="15" t="str">
        <f>IFERROR(INDEX('Reference Data'!$D$2:$D$6,MATCH($G6,'Reference Data'!$E$2:$E$6,0)),"")</f>
        <v/>
      </c>
      <c r="G6" s="16" t="str">
        <f>IF($D6="Scale",'Reference Data'!$H$2,"")</f>
        <v/>
      </c>
      <c r="H6" s="17" t="str">
        <f>IFERROR(INDEX('Reference Data'!$D$2:$D$6,MATCH($I6,'Reference Data'!$E$2:$E$6,0)),"")</f>
        <v/>
      </c>
      <c r="I6" s="16" t="str">
        <f>IF($G6="","",MEDIAN('Reference Data'!$H$1,'Reference Data'!$H$2,$G6+1*IF($G6='Reference Data'!$H$2,-1,1)))</f>
        <v/>
      </c>
      <c r="J6" s="17" t="str">
        <f>IFERROR(INDEX('Reference Data'!$D$2:$D$6,MATCH($K6,'Reference Data'!$E$2:$E$6,0)),"")</f>
        <v/>
      </c>
      <c r="K6" s="16" t="str">
        <f>IF($G6="","",MEDIAN('Reference Data'!$H$1,'Reference Data'!$H$2,$G6+2*IF($G6='Reference Data'!$H$2,-1,1)))</f>
        <v/>
      </c>
      <c r="L6" s="17" t="str">
        <f>IFERROR(INDEX('Reference Data'!$D$2:$D$6,MATCH($M6,'Reference Data'!$E$2:$E$6,0)),"")</f>
        <v/>
      </c>
      <c r="M6" s="16" t="str">
        <f>IF($G6="","",MEDIAN('Reference Data'!$H$1,'Reference Data'!$H$2,$G6+3*IF($G6='Reference Data'!$H$2,-1,1)))</f>
        <v/>
      </c>
      <c r="N6" s="18" t="str">
        <f>IFERROR(INDEX('Reference Data'!$D$2:$D$6,MATCH($O6,'Reference Data'!$E$2:$E$6,0)),"")</f>
        <v/>
      </c>
      <c r="O6" s="19" t="str">
        <f>IF($G6="","",MEDIAN('Reference Data'!$H$1,'Reference Data'!$H$2,$G6+4*IF($G6='Reference Data'!$H$2,-1,1)))</f>
        <v/>
      </c>
      <c r="P6" s="15"/>
      <c r="Q6" s="18"/>
      <c r="R6" s="20"/>
      <c r="S6" s="39" t="str">
        <f>IF($D6="","",IF($D6='Reference Data'!$A$11,"",IFERROR(IF(VLOOKUP($D6,'Reference Data'!$A$9:$C$11,3,FALSE)="",1,VLOOKUP($D6,'Reference Data'!$A$9:$C$11,3,FALSE)),1)))</f>
        <v/>
      </c>
      <c r="T6" s="40" t="str">
        <f>IF($D6="","",IFERROR(VLOOKUP($D6,'Reference Data'!$A$9:$B$11,2,FALSE),""))</f>
        <v>LA</v>
      </c>
      <c r="U6" s="15" t="s">
        <v>50</v>
      </c>
    </row>
    <row r="7" spans="1:21" ht="22.05" customHeight="1" x14ac:dyDescent="0.4">
      <c r="A7" s="43"/>
      <c r="B7" s="46"/>
      <c r="C7" s="12"/>
      <c r="D7" s="13"/>
      <c r="E7" s="14"/>
      <c r="F7" s="15" t="str">
        <f>IFERROR(INDEX('Reference Data'!$D$2:$D$6,MATCH($G7,'Reference Data'!$E$2:$E$6,0)),"")</f>
        <v/>
      </c>
      <c r="G7" s="16" t="str">
        <f>IF($D7="Scale",'Reference Data'!$H$2,"")</f>
        <v/>
      </c>
      <c r="H7" s="17" t="str">
        <f>IFERROR(INDEX('Reference Data'!$D$2:$D$6,MATCH($I7,'Reference Data'!$E$2:$E$6,0)),"")</f>
        <v/>
      </c>
      <c r="I7" s="16" t="str">
        <f>IF($G7="","",MEDIAN('Reference Data'!$H$1,'Reference Data'!$H$2,$G7+1*IF($G7='Reference Data'!$H$2,-1,1)))</f>
        <v/>
      </c>
      <c r="J7" s="17" t="str">
        <f>IFERROR(INDEX('Reference Data'!$D$2:$D$6,MATCH($K7,'Reference Data'!$E$2:$E$6,0)),"")</f>
        <v/>
      </c>
      <c r="K7" s="16" t="str">
        <f>IF($G7="","",MEDIAN('Reference Data'!$H$1,'Reference Data'!$H$2,$G7+2*IF($G7='Reference Data'!$H$2,-1,1)))</f>
        <v/>
      </c>
      <c r="L7" s="17" t="str">
        <f>IFERROR(INDEX('Reference Data'!$D$2:$D$6,MATCH($M7,'Reference Data'!$E$2:$E$6,0)),"")</f>
        <v/>
      </c>
      <c r="M7" s="16" t="str">
        <f>IF($G7="","",MEDIAN('Reference Data'!$H$1,'Reference Data'!$H$2,$G7+3*IF($G7='Reference Data'!$H$2,-1,1)))</f>
        <v/>
      </c>
      <c r="N7" s="18" t="str">
        <f>IFERROR(INDEX('Reference Data'!$D$2:$D$6,MATCH($O7,'Reference Data'!$E$2:$E$6,0)),"")</f>
        <v/>
      </c>
      <c r="O7" s="19" t="str">
        <f>IF($G7="","",MEDIAN('Reference Data'!$H$1,'Reference Data'!$H$2,$G7+4*IF($G7='Reference Data'!$H$2,-1,1)))</f>
        <v/>
      </c>
      <c r="P7" s="15"/>
      <c r="Q7" s="18"/>
      <c r="R7" s="20"/>
      <c r="S7" s="39" t="str">
        <f>IF($D7="","",IF($D7='Reference Data'!$A$11,"",IFERROR(IF(VLOOKUP($D7,'Reference Data'!$A$9:$C$11,3,FALSE)="",1,VLOOKUP($D7,'Reference Data'!$A$9:$C$11,3,FALSE)),1)))</f>
        <v/>
      </c>
      <c r="T7" s="40" t="str">
        <f>IF($D7="","",IFERROR(VLOOKUP($D7,'Reference Data'!$A$9:$B$11,2,FALSE),""))</f>
        <v/>
      </c>
      <c r="U7" s="15"/>
    </row>
    <row r="8" spans="1:21" ht="22.05" customHeight="1" x14ac:dyDescent="0.4">
      <c r="A8" s="43"/>
      <c r="B8" s="46"/>
      <c r="C8" s="12"/>
      <c r="D8" s="13"/>
      <c r="E8" s="14"/>
      <c r="F8" s="15" t="str">
        <f>IFERROR(INDEX('Reference Data'!$D$2:$D$6,MATCH($G8,'Reference Data'!$E$2:$E$6,0)),"")</f>
        <v/>
      </c>
      <c r="G8" s="16" t="str">
        <f>IF($D8="Scale",'Reference Data'!$H$2,"")</f>
        <v/>
      </c>
      <c r="H8" s="17" t="str">
        <f>IFERROR(INDEX('Reference Data'!$D$2:$D$6,MATCH($I8,'Reference Data'!$E$2:$E$6,0)),"")</f>
        <v/>
      </c>
      <c r="I8" s="16" t="str">
        <f>IF($G8="","",MEDIAN('Reference Data'!$H$1,'Reference Data'!$H$2,$G8+1*IF($G8='Reference Data'!$H$2,-1,1)))</f>
        <v/>
      </c>
      <c r="J8" s="17" t="str">
        <f>IFERROR(INDEX('Reference Data'!$D$2:$D$6,MATCH($K8,'Reference Data'!$E$2:$E$6,0)),"")</f>
        <v/>
      </c>
      <c r="K8" s="16" t="str">
        <f>IF($G8="","",MEDIAN('Reference Data'!$H$1,'Reference Data'!$H$2,$G8+2*IF($G8='Reference Data'!$H$2,-1,1)))</f>
        <v/>
      </c>
      <c r="L8" s="17" t="str">
        <f>IFERROR(INDEX('Reference Data'!$D$2:$D$6,MATCH($M8,'Reference Data'!$E$2:$E$6,0)),"")</f>
        <v/>
      </c>
      <c r="M8" s="16" t="str">
        <f>IF($G8="","",MEDIAN('Reference Data'!$H$1,'Reference Data'!$H$2,$G8+3*IF($G8='Reference Data'!$H$2,-1,1)))</f>
        <v/>
      </c>
      <c r="N8" s="18" t="str">
        <f>IFERROR(INDEX('Reference Data'!$D$2:$D$6,MATCH($O8,'Reference Data'!$E$2:$E$6,0)),"")</f>
        <v/>
      </c>
      <c r="O8" s="19" t="str">
        <f>IF($G8="","",MEDIAN('Reference Data'!$H$1,'Reference Data'!$H$2,$G8+4*IF($G8='Reference Data'!$H$2,-1,1)))</f>
        <v/>
      </c>
      <c r="P8" s="15"/>
      <c r="Q8" s="18"/>
      <c r="R8" s="20"/>
      <c r="S8" s="39" t="str">
        <f>IF($D8="","",IF($D8='Reference Data'!$A$11,"",IFERROR(IF(VLOOKUP($D8,'Reference Data'!$A$9:$C$11,3,FALSE)="",1,VLOOKUP($D8,'Reference Data'!$A$9:$C$11,3,FALSE)),1)))</f>
        <v/>
      </c>
      <c r="T8" s="40" t="str">
        <f>IF($D8="","",IFERROR(VLOOKUP($D8,'Reference Data'!$A$9:$B$11,2,FALSE),""))</f>
        <v/>
      </c>
      <c r="U8" s="15"/>
    </row>
    <row r="9" spans="1:21" ht="22.05" customHeight="1" x14ac:dyDescent="0.4">
      <c r="A9" s="43"/>
      <c r="B9" s="46"/>
      <c r="C9" s="12"/>
      <c r="D9" s="13"/>
      <c r="E9" s="14"/>
      <c r="F9" s="15" t="str">
        <f>IFERROR(INDEX('Reference Data'!$D$2:$D$6,MATCH($G9,'Reference Data'!$E$2:$E$6,0)),"")</f>
        <v/>
      </c>
      <c r="G9" s="16" t="str">
        <f>IF($D9="Scale",'Reference Data'!$H$2,"")</f>
        <v/>
      </c>
      <c r="H9" s="17" t="str">
        <f>IFERROR(INDEX('Reference Data'!$D$2:$D$6,MATCH($I9,'Reference Data'!$E$2:$E$6,0)),"")</f>
        <v/>
      </c>
      <c r="I9" s="16" t="str">
        <f>IF($G9="","",MEDIAN('Reference Data'!$H$1,'Reference Data'!$H$2,$G9+1*IF($G9='Reference Data'!$H$2,-1,1)))</f>
        <v/>
      </c>
      <c r="J9" s="17" t="str">
        <f>IFERROR(INDEX('Reference Data'!$D$2:$D$6,MATCH($K9,'Reference Data'!$E$2:$E$6,0)),"")</f>
        <v/>
      </c>
      <c r="K9" s="16" t="str">
        <f>IF($G9="","",MEDIAN('Reference Data'!$H$1,'Reference Data'!$H$2,$G9+2*IF($G9='Reference Data'!$H$2,-1,1)))</f>
        <v/>
      </c>
      <c r="L9" s="17" t="str">
        <f>IFERROR(INDEX('Reference Data'!$D$2:$D$6,MATCH($M9,'Reference Data'!$E$2:$E$6,0)),"")</f>
        <v/>
      </c>
      <c r="M9" s="16" t="str">
        <f>IF($G9="","",MEDIAN('Reference Data'!$H$1,'Reference Data'!$H$2,$G9+3*IF($G9='Reference Data'!$H$2,-1,1)))</f>
        <v/>
      </c>
      <c r="N9" s="18" t="str">
        <f>IFERROR(INDEX('Reference Data'!$D$2:$D$6,MATCH($O9,'Reference Data'!$E$2:$E$6,0)),"")</f>
        <v/>
      </c>
      <c r="O9" s="19" t="str">
        <f>IF($G9="","",MEDIAN('Reference Data'!$H$1,'Reference Data'!$H$2,$G9+4*IF($G9='Reference Data'!$H$2,-1,1)))</f>
        <v/>
      </c>
      <c r="P9" s="15"/>
      <c r="Q9" s="18"/>
      <c r="R9" s="20"/>
      <c r="S9" s="39" t="str">
        <f>IF($D9="","",IF($D9='Reference Data'!$A$11,"",IFERROR(IF(VLOOKUP($D9,'Reference Data'!$A$9:$C$11,3,FALSE)="",1,VLOOKUP($D9,'Reference Data'!$A$9:$C$11,3,FALSE)),1)))</f>
        <v/>
      </c>
      <c r="T9" s="40" t="str">
        <f>IF($D9="","",IFERROR(VLOOKUP($D9,'Reference Data'!$A$9:$B$11,2,FALSE),""))</f>
        <v/>
      </c>
      <c r="U9" s="15"/>
    </row>
    <row r="10" spans="1:21" ht="22.05" customHeight="1" x14ac:dyDescent="0.4">
      <c r="A10" s="43"/>
      <c r="B10" s="46"/>
      <c r="C10" s="12"/>
      <c r="D10" s="13"/>
      <c r="E10" s="14"/>
      <c r="F10" s="15" t="str">
        <f>IFERROR(INDEX('Reference Data'!$D$2:$D$6,MATCH($G10,'Reference Data'!$E$2:$E$6,0)),"")</f>
        <v/>
      </c>
      <c r="G10" s="16" t="str">
        <f>IF($D10="Scale",'Reference Data'!$H$2,"")</f>
        <v/>
      </c>
      <c r="H10" s="17" t="str">
        <f>IFERROR(INDEX('Reference Data'!$D$2:$D$6,MATCH($I10,'Reference Data'!$E$2:$E$6,0)),"")</f>
        <v/>
      </c>
      <c r="I10" s="16" t="str">
        <f>IF($G10="","",MEDIAN('Reference Data'!$H$1,'Reference Data'!$H$2,$G10+1*IF($G10='Reference Data'!$H$2,-1,1)))</f>
        <v/>
      </c>
      <c r="J10" s="17" t="str">
        <f>IFERROR(INDEX('Reference Data'!$D$2:$D$6,MATCH($K10,'Reference Data'!$E$2:$E$6,0)),"")</f>
        <v/>
      </c>
      <c r="K10" s="16" t="str">
        <f>IF($G10="","",MEDIAN('Reference Data'!$H$1,'Reference Data'!$H$2,$G10+2*IF($G10='Reference Data'!$H$2,-1,1)))</f>
        <v/>
      </c>
      <c r="L10" s="17" t="str">
        <f>IFERROR(INDEX('Reference Data'!$D$2:$D$6,MATCH($M10,'Reference Data'!$E$2:$E$6,0)),"")</f>
        <v/>
      </c>
      <c r="M10" s="16" t="str">
        <f>IF($G10="","",MEDIAN('Reference Data'!$H$1,'Reference Data'!$H$2,$G10+3*IF($G10='Reference Data'!$H$2,-1,1)))</f>
        <v/>
      </c>
      <c r="N10" s="18" t="str">
        <f>IFERROR(INDEX('Reference Data'!$D$2:$D$6,MATCH($O10,'Reference Data'!$E$2:$E$6,0)),"")</f>
        <v/>
      </c>
      <c r="O10" s="19" t="str">
        <f>IF($G10="","",MEDIAN('Reference Data'!$H$1,'Reference Data'!$H$2,$G10+4*IF($G10='Reference Data'!$H$2,-1,1)))</f>
        <v/>
      </c>
      <c r="P10" s="15"/>
      <c r="Q10" s="18"/>
      <c r="R10" s="20"/>
      <c r="S10" s="39" t="str">
        <f>IF($D10="","",IF($D10='Reference Data'!$A$11,"",IFERROR(IF(VLOOKUP($D10,'Reference Data'!$A$9:$C$11,3,FALSE)="",1,VLOOKUP($D10,'Reference Data'!$A$9:$C$11,3,FALSE)),1)))</f>
        <v/>
      </c>
      <c r="T10" s="40" t="str">
        <f>IF($D10="","",IFERROR(VLOOKUP($D10,'Reference Data'!$A$9:$B$11,2,FALSE),""))</f>
        <v/>
      </c>
      <c r="U10" s="15"/>
    </row>
    <row r="11" spans="1:21" ht="22.05" customHeight="1" x14ac:dyDescent="0.4">
      <c r="A11" s="43"/>
      <c r="B11" s="46"/>
      <c r="C11" s="12"/>
      <c r="D11" s="13"/>
      <c r="E11" s="14"/>
      <c r="F11" s="18" t="str">
        <f>IFERROR(INDEX('Reference Data'!$D$2:$D$6,MATCH($G11,'Reference Data'!$E$2:$E$6,0)),"")</f>
        <v/>
      </c>
      <c r="G11" s="18" t="str">
        <f>IF($D11="Scale",'Reference Data'!$H$2,"")</f>
        <v/>
      </c>
      <c r="H11" s="18" t="str">
        <f>IFERROR(INDEX('Reference Data'!$D$2:$D$6,MATCH($I11,'Reference Data'!$E$2:$E$6,0)),"")</f>
        <v/>
      </c>
      <c r="I11" s="16" t="str">
        <f>IF($G11="","",MEDIAN('Reference Data'!$H$1,'Reference Data'!$H$2,$G11+1*IF($G11='Reference Data'!$H$2,-1,1)))</f>
        <v/>
      </c>
      <c r="J11" s="17" t="str">
        <f>IFERROR(INDEX('Reference Data'!$D$2:$D$6,MATCH($K11,'Reference Data'!$E$2:$E$6,0)),"")</f>
        <v/>
      </c>
      <c r="K11" s="16" t="str">
        <f>IF($G11="","",MEDIAN('Reference Data'!$H$1,'Reference Data'!$H$2,$G11+2*IF($G11='Reference Data'!$H$2,-1,1)))</f>
        <v/>
      </c>
      <c r="L11" s="17" t="str">
        <f>IFERROR(INDEX('Reference Data'!$D$2:$D$6,MATCH($M11,'Reference Data'!$E$2:$E$6,0)),"")</f>
        <v/>
      </c>
      <c r="M11" s="16" t="str">
        <f>IF($G11="","",MEDIAN('Reference Data'!$H$1,'Reference Data'!$H$2,$G11+3*IF($G11='Reference Data'!$H$2,-1,1)))</f>
        <v/>
      </c>
      <c r="N11" s="18" t="str">
        <f>IFERROR(INDEX('Reference Data'!$D$2:$D$6,MATCH($O11,'Reference Data'!$E$2:$E$6,0)),"")</f>
        <v/>
      </c>
      <c r="O11" s="19" t="str">
        <f>IF($G11="","",MEDIAN('Reference Data'!$H$1,'Reference Data'!$H$2,$G11+4*IF($G11='Reference Data'!$H$2,-1,1)))</f>
        <v/>
      </c>
      <c r="P11" s="18"/>
      <c r="Q11" s="18"/>
      <c r="R11" s="20"/>
      <c r="S11" s="39" t="str">
        <f>IF($D11="","",IF($D11='Reference Data'!$A$11,"",IFERROR(IF(VLOOKUP($D11,'Reference Data'!$A$9:$C$11,3,FALSE)="",1,VLOOKUP($D11,'Reference Data'!$A$9:$C$11,3,FALSE)),1)))</f>
        <v/>
      </c>
      <c r="T11" s="40" t="str">
        <f>IF($D11="","",IFERROR(VLOOKUP($D11,'Reference Data'!$A$9:$B$11,2,FALSE),""))</f>
        <v/>
      </c>
      <c r="U11" s="15"/>
    </row>
    <row r="12" spans="1:21" ht="22.05" customHeight="1" x14ac:dyDescent="0.4">
      <c r="A12" s="43"/>
      <c r="B12" s="46"/>
      <c r="C12" s="12"/>
      <c r="D12" s="13"/>
      <c r="E12" s="14"/>
      <c r="F12" s="15" t="str">
        <f>IFERROR(INDEX('Reference Data'!$D$2:$D$6,MATCH($G12,'Reference Data'!$E$2:$E$6,0)),"")</f>
        <v/>
      </c>
      <c r="G12" s="16" t="str">
        <f>IF($D12="Scale",'Reference Data'!$H$2,"")</f>
        <v/>
      </c>
      <c r="H12" s="17" t="str">
        <f>IFERROR(INDEX('Reference Data'!$D$2:$D$6,MATCH($I12,'Reference Data'!$E$2:$E$6,0)),"")</f>
        <v/>
      </c>
      <c r="I12" s="16" t="str">
        <f>IF($G12="","",MEDIAN('Reference Data'!$H$1,'Reference Data'!$H$2,$G12+1*IF($G12='Reference Data'!$H$2,-1,1)))</f>
        <v/>
      </c>
      <c r="J12" s="17" t="str">
        <f>IFERROR(INDEX('Reference Data'!$D$2:$D$6,MATCH($K12,'Reference Data'!$E$2:$E$6,0)),"")</f>
        <v/>
      </c>
      <c r="K12" s="16" t="str">
        <f>IF($G12="","",MEDIAN('Reference Data'!$H$1,'Reference Data'!$H$2,$G12+2*IF($G12='Reference Data'!$H$2,-1,1)))</f>
        <v/>
      </c>
      <c r="L12" s="17" t="str">
        <f>IFERROR(INDEX('Reference Data'!$D$2:$D$6,MATCH($M12,'Reference Data'!$E$2:$E$6,0)),"")</f>
        <v/>
      </c>
      <c r="M12" s="16" t="str">
        <f>IF($G12="","",MEDIAN('Reference Data'!$H$1,'Reference Data'!$H$2,$G12+3*IF($G12='Reference Data'!$H$2,-1,1)))</f>
        <v/>
      </c>
      <c r="N12" s="18" t="str">
        <f>IFERROR(INDEX('Reference Data'!$D$2:$D$6,MATCH($O12,'Reference Data'!$E$2:$E$6,0)),"")</f>
        <v/>
      </c>
      <c r="O12" s="19" t="str">
        <f>IF($G12="","",MEDIAN('Reference Data'!$H$1,'Reference Data'!$H$2,$G12+4*IF($G12='Reference Data'!$H$2,-1,1)))</f>
        <v/>
      </c>
      <c r="P12" s="15"/>
      <c r="Q12" s="18"/>
      <c r="R12" s="20"/>
      <c r="S12" s="39" t="str">
        <f>IF($D12="","",IF($D12='Reference Data'!$A$11,"",IFERROR(IF(VLOOKUP($D12,'Reference Data'!$A$9:$C$11,3,FALSE)="",1,VLOOKUP($D12,'Reference Data'!$A$9:$C$11,3,FALSE)),1)))</f>
        <v/>
      </c>
      <c r="T12" s="40" t="str">
        <f>IF($D12="","",IFERROR(VLOOKUP($D12,'Reference Data'!$A$9:$B$11,2,FALSE),""))</f>
        <v/>
      </c>
      <c r="U12" s="15"/>
    </row>
    <row r="13" spans="1:21" ht="22.05" customHeight="1" x14ac:dyDescent="0.4">
      <c r="A13" s="43"/>
      <c r="B13" s="46"/>
      <c r="C13" s="12"/>
      <c r="D13" s="13"/>
      <c r="E13" s="14"/>
      <c r="F13" s="15" t="str">
        <f>IFERROR(INDEX('Reference Data'!$D$2:$D$6,MATCH($G13,'Reference Data'!$E$2:$E$6,0)),"")</f>
        <v/>
      </c>
      <c r="G13" s="16" t="str">
        <f>IF($D13="Scale",'Reference Data'!$H$2,"")</f>
        <v/>
      </c>
      <c r="H13" s="17" t="str">
        <f>IFERROR(INDEX('Reference Data'!$D$2:$D$6,MATCH($I13,'Reference Data'!$E$2:$E$6,0)),"")</f>
        <v/>
      </c>
      <c r="I13" s="16" t="str">
        <f>IF($G13="","",MEDIAN('Reference Data'!$H$1,'Reference Data'!$H$2,$G13+1*IF($G13='Reference Data'!$H$2,-1,1)))</f>
        <v/>
      </c>
      <c r="J13" s="17" t="str">
        <f>IFERROR(INDEX('Reference Data'!$D$2:$D$6,MATCH($K13,'Reference Data'!$E$2:$E$6,0)),"")</f>
        <v/>
      </c>
      <c r="K13" s="16" t="str">
        <f>IF($G13="","",MEDIAN('Reference Data'!$H$1,'Reference Data'!$H$2,$G13+2*IF($G13='Reference Data'!$H$2,-1,1)))</f>
        <v/>
      </c>
      <c r="L13" s="17" t="str">
        <f>IFERROR(INDEX('Reference Data'!$D$2:$D$6,MATCH($M13,'Reference Data'!$E$2:$E$6,0)),"")</f>
        <v/>
      </c>
      <c r="M13" s="16" t="str">
        <f>IF($G13="","",MEDIAN('Reference Data'!$H$1,'Reference Data'!$H$2,$G13+3*IF($G13='Reference Data'!$H$2,-1,1)))</f>
        <v/>
      </c>
      <c r="N13" s="18" t="str">
        <f>IFERROR(INDEX('Reference Data'!$D$2:$D$6,MATCH($O13,'Reference Data'!$E$2:$E$6,0)),"")</f>
        <v/>
      </c>
      <c r="O13" s="19" t="str">
        <f>IF($G13="","",MEDIAN('Reference Data'!$H$1,'Reference Data'!$H$2,$G13+4*IF($G13='Reference Data'!$H$2,-1,1)))</f>
        <v/>
      </c>
      <c r="P13" s="15"/>
      <c r="Q13" s="18"/>
      <c r="R13" s="20"/>
      <c r="S13" s="39" t="str">
        <f>IF($D13="","",IF($D13='Reference Data'!$A$11,"",IFERROR(IF(VLOOKUP($D13,'Reference Data'!$A$9:$C$11,3,FALSE)="",1,VLOOKUP($D13,'Reference Data'!$A$9:$C$11,3,FALSE)),1)))</f>
        <v/>
      </c>
      <c r="T13" s="40" t="str">
        <f>IF($D13="","",IFERROR(VLOOKUP($D13,'Reference Data'!$A$9:$B$11,2,FALSE),""))</f>
        <v/>
      </c>
      <c r="U13" s="15"/>
    </row>
    <row r="14" spans="1:21" ht="22.05" customHeight="1" x14ac:dyDescent="0.4">
      <c r="A14" s="43"/>
      <c r="B14" s="46"/>
      <c r="C14" s="12"/>
      <c r="D14" s="13"/>
      <c r="E14" s="14"/>
      <c r="F14" s="15" t="str">
        <f>IFERROR(INDEX('Reference Data'!$D$2:$D$6,MATCH($G14,'Reference Data'!$E$2:$E$6,0)),"")</f>
        <v/>
      </c>
      <c r="G14" s="16" t="str">
        <f>IF($D14="Scale",'Reference Data'!$H$2,"")</f>
        <v/>
      </c>
      <c r="H14" s="17" t="str">
        <f>IFERROR(INDEX('Reference Data'!$D$2:$D$6,MATCH($I14,'Reference Data'!$E$2:$E$6,0)),"")</f>
        <v/>
      </c>
      <c r="I14" s="16" t="str">
        <f>IF($G14="","",MEDIAN('Reference Data'!$H$1,'Reference Data'!$H$2,$G14+1*IF($G14='Reference Data'!$H$2,-1,1)))</f>
        <v/>
      </c>
      <c r="J14" s="17" t="str">
        <f>IFERROR(INDEX('Reference Data'!$D$2:$D$6,MATCH($K14,'Reference Data'!$E$2:$E$6,0)),"")</f>
        <v/>
      </c>
      <c r="K14" s="16" t="str">
        <f>IF($G14="","",MEDIAN('Reference Data'!$H$1,'Reference Data'!$H$2,$G14+2*IF($G14='Reference Data'!$H$2,-1,1)))</f>
        <v/>
      </c>
      <c r="L14" s="17" t="str">
        <f>IFERROR(INDEX('Reference Data'!$D$2:$D$6,MATCH($M14,'Reference Data'!$E$2:$E$6,0)),"")</f>
        <v/>
      </c>
      <c r="M14" s="16" t="str">
        <f>IF($G14="","",MEDIAN('Reference Data'!$H$1,'Reference Data'!$H$2,$G14+3*IF($G14='Reference Data'!$H$2,-1,1)))</f>
        <v/>
      </c>
      <c r="N14" s="18" t="str">
        <f>IFERROR(INDEX('Reference Data'!$D$2:$D$6,MATCH($O14,'Reference Data'!$E$2:$E$6,0)),"")</f>
        <v/>
      </c>
      <c r="O14" s="19" t="str">
        <f>IF($G14="","",MEDIAN('Reference Data'!$H$1,'Reference Data'!$H$2,$G14+4*IF($G14='Reference Data'!$H$2,-1,1)))</f>
        <v/>
      </c>
      <c r="P14" s="15"/>
      <c r="Q14" s="18"/>
      <c r="R14" s="20"/>
      <c r="S14" s="39" t="str">
        <f>IF($D14="","",IF($D14='Reference Data'!$A$11,"",IFERROR(IF(VLOOKUP($D14,'Reference Data'!$A$9:$C$11,3,FALSE)="",1,VLOOKUP($D14,'Reference Data'!$A$9:$C$11,3,FALSE)),1)))</f>
        <v/>
      </c>
      <c r="T14" s="40" t="str">
        <f>IF($D14="","",IFERROR(VLOOKUP($D14,'Reference Data'!$A$9:$B$11,2,FALSE),""))</f>
        <v/>
      </c>
      <c r="U14" s="15"/>
    </row>
    <row r="15" spans="1:21" ht="22.05" customHeight="1" x14ac:dyDescent="0.4">
      <c r="A15" s="43"/>
      <c r="B15" s="46"/>
      <c r="C15" s="12"/>
      <c r="D15" s="13"/>
      <c r="E15" s="14"/>
      <c r="F15" s="15" t="str">
        <f>IFERROR(INDEX('Reference Data'!$D$2:$D$6,MATCH($G15,'Reference Data'!$E$2:$E$6,0)),"")</f>
        <v/>
      </c>
      <c r="G15" s="16" t="str">
        <f>IF($D15="Scale",'Reference Data'!$H$2,"")</f>
        <v/>
      </c>
      <c r="H15" s="17" t="str">
        <f>IFERROR(INDEX('Reference Data'!$D$2:$D$6,MATCH($I15,'Reference Data'!$E$2:$E$6,0)),"")</f>
        <v/>
      </c>
      <c r="I15" s="16" t="str">
        <f>IF($G15="","",MEDIAN('Reference Data'!$H$1,'Reference Data'!$H$2,$G15+1*IF($G15='Reference Data'!$H$2,1,-1)))</f>
        <v/>
      </c>
      <c r="J15" s="17" t="str">
        <f>IFERROR(INDEX('Reference Data'!$D$2:$D$6,MATCH($K15,'Reference Data'!$E$2:$E$6,0)),"")</f>
        <v/>
      </c>
      <c r="K15" s="16" t="str">
        <f>IF($G15="","",MEDIAN('Reference Data'!$H$1,'Reference Data'!$H$2,$G15+2*IF($G15='Reference Data'!$H$2,1,-1)))</f>
        <v/>
      </c>
      <c r="L15" s="17" t="str">
        <f>IFERROR(INDEX('Reference Data'!$D$2:$D$6,MATCH($M15,'Reference Data'!$E$2:$E$6,0)),"")</f>
        <v/>
      </c>
      <c r="M15" s="16" t="str">
        <f>IF($G15="","",MEDIAN('Reference Data'!$H$1,'Reference Data'!$H$2,$G15+3*IF($G15='Reference Data'!$H$2,1,-1)))</f>
        <v/>
      </c>
      <c r="N15" s="18" t="str">
        <f>IFERROR(INDEX('Reference Data'!$D$2:$D$6,MATCH($O15,'Reference Data'!$E$2:$E$6,0)),"")</f>
        <v/>
      </c>
      <c r="O15" s="19" t="str">
        <f>IF($G15="","",MEDIAN('Reference Data'!$H$1,'Reference Data'!$H$2,$G15+4*IF($G15='Reference Data'!$H$2,1,-1)))</f>
        <v/>
      </c>
      <c r="P15" s="15"/>
      <c r="Q15" s="18"/>
      <c r="R15" s="20"/>
      <c r="S15" s="39" t="str">
        <f>IF($D15="","",IF($D15='Reference Data'!$A$11,"",IFERROR(IF(VLOOKUP($D15,'Reference Data'!$A$9:$C$11,3,FALSE)="",1,VLOOKUP($D15,'Reference Data'!$A$9:$C$11,3,FALSE)),1)))</f>
        <v/>
      </c>
      <c r="T15" s="40" t="str">
        <f>IF($D15="","",IFERROR(VLOOKUP($D15,'Reference Data'!$A$9:$B$11,2,FALSE),""))</f>
        <v/>
      </c>
      <c r="U15" s="15"/>
    </row>
    <row r="16" spans="1:21" ht="22.05" customHeight="1" x14ac:dyDescent="0.4">
      <c r="A16" s="43"/>
      <c r="B16" s="46"/>
      <c r="C16" s="12"/>
      <c r="D16" s="13"/>
      <c r="E16" s="14"/>
      <c r="F16" s="15" t="str">
        <f>IFERROR(INDEX('Reference Data'!$D$2:$D$6,MATCH($G16,'Reference Data'!$E$2:$E$6,0)),"")</f>
        <v/>
      </c>
      <c r="G16" s="16" t="str">
        <f>IF($D16="Scale",'Reference Data'!$H$2,"")</f>
        <v/>
      </c>
      <c r="H16" s="17" t="str">
        <f>IFERROR(INDEX('Reference Data'!$D$2:$D$6,MATCH($I16,'Reference Data'!$E$2:$E$6,0)),"")</f>
        <v/>
      </c>
      <c r="I16" s="16" t="str">
        <f>IF($G16="","",MEDIAN('Reference Data'!$H$1,'Reference Data'!$H$2,$G16+1*IF($G16='Reference Data'!$H$2,1,-1)))</f>
        <v/>
      </c>
      <c r="J16" s="17" t="str">
        <f>IFERROR(INDEX('Reference Data'!$D$2:$D$6,MATCH($K16,'Reference Data'!$E$2:$E$6,0)),"")</f>
        <v/>
      </c>
      <c r="K16" s="16" t="str">
        <f>IF($G16="","",MEDIAN('Reference Data'!$H$1,'Reference Data'!$H$2,$G16+2*IF($G16='Reference Data'!$H$2,1,-1)))</f>
        <v/>
      </c>
      <c r="L16" s="17" t="str">
        <f>IFERROR(INDEX('Reference Data'!$D$2:$D$6,MATCH($M16,'Reference Data'!$E$2:$E$6,0)),"")</f>
        <v/>
      </c>
      <c r="M16" s="16" t="str">
        <f>IF($G16="","",MEDIAN('Reference Data'!$H$1,'Reference Data'!$H$2,$G16+3*IF($G16='Reference Data'!$H$2,1,-1)))</f>
        <v/>
      </c>
      <c r="N16" s="18" t="str">
        <f>IFERROR(INDEX('Reference Data'!$D$2:$D$6,MATCH($O16,'Reference Data'!$E$2:$E$6,0)),"")</f>
        <v/>
      </c>
      <c r="O16" s="19" t="str">
        <f>IF($G16="","",MEDIAN('Reference Data'!$H$1,'Reference Data'!$H$2,$G16+4*IF($G16='Reference Data'!$H$2,1,-1)))</f>
        <v/>
      </c>
      <c r="P16" s="15"/>
      <c r="Q16" s="18"/>
      <c r="R16" s="20"/>
      <c r="S16" s="39" t="str">
        <f>IF($D16="","",IF($D16='Reference Data'!$A$11,"",IFERROR(IF(VLOOKUP($D16,'Reference Data'!$A$9:$C$11,3,FALSE)="",1,VLOOKUP($D16,'Reference Data'!$A$9:$C$11,3,FALSE)),1)))</f>
        <v/>
      </c>
      <c r="T16" s="40" t="str">
        <f>IF($D16="","",IFERROR(VLOOKUP($D16,'Reference Data'!$A$9:$B$11,2,FALSE),""))</f>
        <v/>
      </c>
      <c r="U16" s="15"/>
    </row>
    <row r="17" spans="1:21" ht="22.05" customHeight="1" x14ac:dyDescent="0.4">
      <c r="A17" s="43"/>
      <c r="B17" s="46"/>
      <c r="C17" s="12"/>
      <c r="D17" s="13"/>
      <c r="E17" s="14"/>
      <c r="F17" s="15" t="str">
        <f>IFERROR(INDEX('Reference Data'!$D$2:$D$6,MATCH($G17,'Reference Data'!$E$2:$E$6,0)),"")</f>
        <v/>
      </c>
      <c r="G17" s="16" t="str">
        <f>IF($D17="Scale",'Reference Data'!$H$2,"")</f>
        <v/>
      </c>
      <c r="H17" s="17" t="str">
        <f>IFERROR(INDEX('Reference Data'!$D$2:$D$6,MATCH($I17,'Reference Data'!$E$2:$E$6,0)),"")</f>
        <v/>
      </c>
      <c r="I17" s="16" t="str">
        <f>IF($G17="","",MEDIAN('Reference Data'!$H$1,'Reference Data'!$H$2,$G17+1*IF($G17='Reference Data'!$H$2,1,-1)))</f>
        <v/>
      </c>
      <c r="J17" s="17" t="str">
        <f>IFERROR(INDEX('Reference Data'!$D$2:$D$6,MATCH($K17,'Reference Data'!$E$2:$E$6,0)),"")</f>
        <v/>
      </c>
      <c r="K17" s="16" t="str">
        <f>IF($G17="","",MEDIAN('Reference Data'!$H$1,'Reference Data'!$H$2,$G17+2*IF($G17='Reference Data'!$H$2,1,-1)))</f>
        <v/>
      </c>
      <c r="L17" s="17" t="str">
        <f>IFERROR(INDEX('Reference Data'!$D$2:$D$6,MATCH($M17,'Reference Data'!$E$2:$E$6,0)),"")</f>
        <v/>
      </c>
      <c r="M17" s="16" t="str">
        <f>IF($G17="","",MEDIAN('Reference Data'!$H$1,'Reference Data'!$H$2,$G17+3*IF($G17='Reference Data'!$H$2,1,-1)))</f>
        <v/>
      </c>
      <c r="N17" s="18" t="str">
        <f>IFERROR(INDEX('Reference Data'!$D$2:$D$6,MATCH($O17,'Reference Data'!$E$2:$E$6,0)),"")</f>
        <v/>
      </c>
      <c r="O17" s="19" t="str">
        <f>IF($G17="","",MEDIAN('Reference Data'!$H$1,'Reference Data'!$H$2,$G17+4*IF($G17='Reference Data'!$H$2,1,-1)))</f>
        <v/>
      </c>
      <c r="P17" s="15"/>
      <c r="Q17" s="18"/>
      <c r="R17" s="20"/>
      <c r="S17" s="39" t="str">
        <f>IF($D17="","",IF($D17='Reference Data'!$A$11,"",IFERROR(IF(VLOOKUP($D17,'Reference Data'!$A$9:$C$11,3,FALSE)="",1,VLOOKUP($D17,'Reference Data'!$A$9:$C$11,3,FALSE)),1)))</f>
        <v/>
      </c>
      <c r="T17" s="40" t="str">
        <f>IF($D17="","",IFERROR(VLOOKUP($D17,'Reference Data'!$A$9:$B$11,2,FALSE),""))</f>
        <v/>
      </c>
      <c r="U17" s="15"/>
    </row>
    <row r="18" spans="1:21" ht="22.05" customHeight="1" x14ac:dyDescent="0.4">
      <c r="A18" s="43"/>
      <c r="B18" s="46"/>
      <c r="C18" s="12"/>
      <c r="D18" s="13"/>
      <c r="E18" s="14"/>
      <c r="F18" s="15" t="str">
        <f>IFERROR(INDEX('Reference Data'!$D$2:$D$6,MATCH($G18,'Reference Data'!$E$2:$E$6,0)),"")</f>
        <v/>
      </c>
      <c r="G18" s="21" t="str">
        <f>IF($D18="Scale",'Reference Data'!$H$2,"")</f>
        <v/>
      </c>
      <c r="H18" s="17" t="str">
        <f>IFERROR(INDEX('Reference Data'!$D$2:$D$6,MATCH($I18,'Reference Data'!$E$2:$E$6,0)),"")</f>
        <v/>
      </c>
      <c r="I18" s="21" t="str">
        <f>IF($G18="","",MEDIAN('Reference Data'!$H$1,'Reference Data'!$H$2,$G18+1*IF($G18='Reference Data'!$H$2,1,-1)))</f>
        <v/>
      </c>
      <c r="J18" s="17" t="str">
        <f>IFERROR(INDEX('Reference Data'!$D$2:$D$6,MATCH($K18,'Reference Data'!$E$2:$E$6,0)),"")</f>
        <v/>
      </c>
      <c r="K18" s="21" t="str">
        <f>IF($G18="","",MEDIAN('Reference Data'!$H$1,'Reference Data'!$H$2,$G18+2*IF($G18='Reference Data'!$H$2,1,-1)))</f>
        <v/>
      </c>
      <c r="L18" s="17" t="str">
        <f>IFERROR(INDEX('Reference Data'!$D$2:$D$6,MATCH($M18,'Reference Data'!$E$2:$E$6,0)),"")</f>
        <v/>
      </c>
      <c r="M18" s="21" t="str">
        <f>IF($G18="","",MEDIAN('Reference Data'!$H$1,'Reference Data'!$H$2,$G18+3*IF($G18='Reference Data'!$H$2,1,-1)))</f>
        <v/>
      </c>
      <c r="N18" s="18" t="str">
        <f>IFERROR(INDEX('Reference Data'!$D$2:$D$6,MATCH($O18,'Reference Data'!$E$2:$E$6,0)),"")</f>
        <v/>
      </c>
      <c r="O18" s="22" t="str">
        <f>IF($G18="","",MEDIAN('Reference Data'!$H$1,'Reference Data'!$H$2,$G18+4*IF($G18='Reference Data'!$H$2,1,-1)))</f>
        <v/>
      </c>
      <c r="P18" s="15"/>
      <c r="Q18" s="18"/>
      <c r="R18" s="20"/>
      <c r="S18" s="39" t="str">
        <f>IF($D18="","",IF($D18='Reference Data'!$A$11,"",IFERROR(IF(VLOOKUP($D18,'Reference Data'!$A$9:$C$11,3,FALSE)="",1,VLOOKUP($D18,'Reference Data'!$A$9:$C$11,3,FALSE)),1)))</f>
        <v/>
      </c>
      <c r="T18" s="40" t="str">
        <f>IF($D18="","",IFERROR(VLOOKUP($D18,'Reference Data'!$A$9:$B$11,2,FALSE),""))</f>
        <v/>
      </c>
      <c r="U18" s="15"/>
    </row>
    <row r="19" spans="1:21" ht="22.05" customHeight="1" x14ac:dyDescent="0.4">
      <c r="A19" s="43"/>
      <c r="B19" s="46"/>
      <c r="C19" s="12"/>
      <c r="D19" s="13"/>
      <c r="E19" s="14"/>
      <c r="F19" s="15" t="str">
        <f>IFERROR(INDEX('Reference Data'!$D$2:$D$6,MATCH($G19,'Reference Data'!$E$2:$E$6,0)),"")</f>
        <v/>
      </c>
      <c r="G19" s="21" t="str">
        <f>IF($D19="Scale",'Reference Data'!$H$2,"")</f>
        <v/>
      </c>
      <c r="H19" s="17" t="str">
        <f>IFERROR(INDEX('Reference Data'!$D$2:$D$6,MATCH($I19,'Reference Data'!$E$2:$E$6,0)),"")</f>
        <v/>
      </c>
      <c r="I19" s="21" t="str">
        <f>IF($G19="","",MEDIAN('Reference Data'!$H$1,'Reference Data'!$H$2,$G19+1*IF($G19='Reference Data'!$H$2,1,-1)))</f>
        <v/>
      </c>
      <c r="J19" s="17" t="str">
        <f>IFERROR(INDEX('Reference Data'!$D$2:$D$6,MATCH($K19,'Reference Data'!$E$2:$E$6,0)),"")</f>
        <v/>
      </c>
      <c r="K19" s="21" t="str">
        <f>IF($G19="","",MEDIAN('Reference Data'!$H$1,'Reference Data'!$H$2,$G19+2*IF($G19='Reference Data'!$H$2,1,-1)))</f>
        <v/>
      </c>
      <c r="L19" s="17" t="str">
        <f>IFERROR(INDEX('Reference Data'!$D$2:$D$6,MATCH($M19,'Reference Data'!$E$2:$E$6,0)),"")</f>
        <v/>
      </c>
      <c r="M19" s="21" t="str">
        <f>IF($G19="","",MEDIAN('Reference Data'!$H$1,'Reference Data'!$H$2,$G19+3*IF($G19='Reference Data'!$H$2,1,-1)))</f>
        <v/>
      </c>
      <c r="N19" s="18" t="str">
        <f>IFERROR(INDEX('Reference Data'!$D$2:$D$6,MATCH($O19,'Reference Data'!$E$2:$E$6,0)),"")</f>
        <v/>
      </c>
      <c r="O19" s="22" t="str">
        <f>IF($G19="","",MEDIAN('Reference Data'!$H$1,'Reference Data'!$H$2,$G19+4*IF($G19='Reference Data'!$H$2,1,-1)))</f>
        <v/>
      </c>
      <c r="P19" s="15"/>
      <c r="Q19" s="18"/>
      <c r="R19" s="20"/>
      <c r="S19" s="39" t="str">
        <f>IF($D19="","",IF($D19='Reference Data'!$A$11,"",IFERROR(IF(VLOOKUP($D19,'Reference Data'!$A$9:$C$11,3,FALSE)="",1,VLOOKUP($D19,'Reference Data'!$A$9:$C$11,3,FALSE)),1)))</f>
        <v/>
      </c>
      <c r="T19" s="40" t="str">
        <f>IF($D19="","",IFERROR(VLOOKUP($D19,'Reference Data'!$A$9:$B$11,2,FALSE),""))</f>
        <v/>
      </c>
      <c r="U19" s="15"/>
    </row>
    <row r="20" spans="1:21" ht="22.05" customHeight="1" x14ac:dyDescent="0.4">
      <c r="A20" s="43"/>
      <c r="B20" s="46"/>
      <c r="C20" s="12"/>
      <c r="D20" s="13"/>
      <c r="E20" s="14"/>
      <c r="F20" s="15" t="str">
        <f>IFERROR(INDEX('Reference Data'!$D$2:$D$6,MATCH($G20,'Reference Data'!$E$2:$E$6,0)),"")</f>
        <v/>
      </c>
      <c r="G20" s="21" t="str">
        <f>IF($D20="Scale",'Reference Data'!$H$2,"")</f>
        <v/>
      </c>
      <c r="H20" s="17" t="str">
        <f>IFERROR(INDEX('Reference Data'!$D$2:$D$6,MATCH($I20,'Reference Data'!$E$2:$E$6,0)),"")</f>
        <v/>
      </c>
      <c r="I20" s="21" t="str">
        <f>IF($G20="","",MEDIAN('Reference Data'!$H$1,'Reference Data'!$H$2,$G20+1*IF($G20='Reference Data'!$H$2,1,-1)))</f>
        <v/>
      </c>
      <c r="J20" s="17" t="str">
        <f>IFERROR(INDEX('Reference Data'!$D$2:$D$6,MATCH($K20,'Reference Data'!$E$2:$E$6,0)),"")</f>
        <v/>
      </c>
      <c r="K20" s="21" t="str">
        <f>IF($G20="","",MEDIAN('Reference Data'!$H$1,'Reference Data'!$H$2,$G20+2*IF($G20='Reference Data'!$H$2,1,-1)))</f>
        <v/>
      </c>
      <c r="L20" s="17" t="str">
        <f>IFERROR(INDEX('Reference Data'!$D$2:$D$6,MATCH($M20,'Reference Data'!$E$2:$E$6,0)),"")</f>
        <v/>
      </c>
      <c r="M20" s="21" t="str">
        <f>IF($G20="","",MEDIAN('Reference Data'!$H$1,'Reference Data'!$H$2,$G20+3*IF($G20='Reference Data'!$H$2,1,-1)))</f>
        <v/>
      </c>
      <c r="N20" s="18" t="str">
        <f>IFERROR(INDEX('Reference Data'!$D$2:$D$6,MATCH($O20,'Reference Data'!$E$2:$E$6,0)),"")</f>
        <v/>
      </c>
      <c r="O20" s="22" t="str">
        <f>IF($G20="","",MEDIAN('Reference Data'!$H$1,'Reference Data'!$H$2,$G20+4*IF($G20='Reference Data'!$H$2,1,-1)))</f>
        <v/>
      </c>
      <c r="P20" s="15"/>
      <c r="Q20" s="18"/>
      <c r="R20" s="20"/>
      <c r="S20" s="39" t="str">
        <f>IF($D20="","",IF($D20='Reference Data'!$A$11,"",IFERROR(IF(VLOOKUP($D20,'Reference Data'!$A$9:$C$11,3,FALSE)="",1,VLOOKUP($D20,'Reference Data'!$A$9:$C$11,3,FALSE)),1)))</f>
        <v/>
      </c>
      <c r="T20" s="40" t="str">
        <f>IF($D20="","",IFERROR(VLOOKUP($D20,'Reference Data'!$A$9:$B$11,2,FALSE),""))</f>
        <v/>
      </c>
      <c r="U20" s="15"/>
    </row>
    <row r="21" spans="1:21" ht="22.05" customHeight="1" x14ac:dyDescent="0.4">
      <c r="A21" s="43"/>
      <c r="B21" s="46"/>
      <c r="C21" s="12"/>
      <c r="D21" s="13"/>
      <c r="E21" s="14"/>
      <c r="F21" s="15" t="str">
        <f>IFERROR(INDEX('Reference Data'!$D$2:$D$6,MATCH($G21,'Reference Data'!$E$2:$E$6,0)),"")</f>
        <v/>
      </c>
      <c r="G21" s="21" t="str">
        <f>IF($D21="Scale",'Reference Data'!$H$2,"")</f>
        <v/>
      </c>
      <c r="H21" s="17" t="str">
        <f>IFERROR(INDEX('Reference Data'!$D$2:$D$6,MATCH($I21,'Reference Data'!$E$2:$E$6,0)),"")</f>
        <v/>
      </c>
      <c r="I21" s="21" t="str">
        <f>IF($G21="","",MEDIAN('Reference Data'!$H$1,'Reference Data'!$H$2,$G21+1*IF($G21='Reference Data'!$H$2,1,-1)))</f>
        <v/>
      </c>
      <c r="J21" s="17" t="str">
        <f>IFERROR(INDEX('Reference Data'!$D$2:$D$6,MATCH($K21,'Reference Data'!$E$2:$E$6,0)),"")</f>
        <v/>
      </c>
      <c r="K21" s="21" t="str">
        <f>IF($G21="","",MEDIAN('Reference Data'!$H$1,'Reference Data'!$H$2,$G21+2*IF($G21='Reference Data'!$H$2,1,-1)))</f>
        <v/>
      </c>
      <c r="L21" s="17" t="str">
        <f>IFERROR(INDEX('Reference Data'!$D$2:$D$6,MATCH($M21,'Reference Data'!$E$2:$E$6,0)),"")</f>
        <v/>
      </c>
      <c r="M21" s="21" t="str">
        <f>IF($G21="","",MEDIAN('Reference Data'!$H$1,'Reference Data'!$H$2,$G21+3*IF($G21='Reference Data'!$H$2,1,-1)))</f>
        <v/>
      </c>
      <c r="N21" s="18" t="str">
        <f>IFERROR(INDEX('Reference Data'!$D$2:$D$6,MATCH($O21,'Reference Data'!$E$2:$E$6,0)),"")</f>
        <v/>
      </c>
      <c r="O21" s="22" t="str">
        <f>IF($G21="","",MEDIAN('Reference Data'!$H$1,'Reference Data'!$H$2,$G21+4*IF($G21='Reference Data'!$H$2,1,-1)))</f>
        <v/>
      </c>
      <c r="P21" s="15"/>
      <c r="Q21" s="18"/>
      <c r="R21" s="20"/>
      <c r="S21" s="39" t="str">
        <f>IF($D21="","",IF($D21='Reference Data'!$A$11,"",IFERROR(IF(VLOOKUP($D21,'Reference Data'!$A$9:$C$11,3,FALSE)="",1,VLOOKUP($D21,'Reference Data'!$A$9:$C$11,3,FALSE)),1)))</f>
        <v/>
      </c>
      <c r="T21" s="40" t="str">
        <f>IF($D21="","",IFERROR(VLOOKUP($D21,'Reference Data'!$A$9:$B$11,2,FALSE),""))</f>
        <v/>
      </c>
      <c r="U21" s="15"/>
    </row>
    <row r="22" spans="1:21" ht="22.05" customHeight="1" x14ac:dyDescent="0.4">
      <c r="A22" s="43"/>
      <c r="B22" s="46"/>
      <c r="C22" s="12"/>
      <c r="D22" s="13"/>
      <c r="E22" s="14"/>
      <c r="F22" s="15" t="str">
        <f>IFERROR(INDEX('Reference Data'!$D$2:$D$6,MATCH($G22,'Reference Data'!$E$2:$E$6,0)),"")</f>
        <v/>
      </c>
      <c r="G22" s="21" t="str">
        <f>IF($D22="Scale",'Reference Data'!$H$2,"")</f>
        <v/>
      </c>
      <c r="H22" s="17" t="str">
        <f>IFERROR(INDEX('Reference Data'!$D$2:$D$6,MATCH($I22,'Reference Data'!$E$2:$E$6,0)),"")</f>
        <v/>
      </c>
      <c r="I22" s="21" t="str">
        <f>IF($G22="","",MEDIAN('Reference Data'!$H$1,'Reference Data'!$H$2,$G22+1*IF($G22='Reference Data'!$H$2,1,-1)))</f>
        <v/>
      </c>
      <c r="J22" s="17" t="str">
        <f>IFERROR(INDEX('Reference Data'!$D$2:$D$6,MATCH($K22,'Reference Data'!$E$2:$E$6,0)),"")</f>
        <v/>
      </c>
      <c r="K22" s="21" t="str">
        <f>IF($G22="","",MEDIAN('Reference Data'!$H$1,'Reference Data'!$H$2,$G22+2*IF($G22='Reference Data'!$H$2,1,-1)))</f>
        <v/>
      </c>
      <c r="L22" s="17" t="str">
        <f>IFERROR(INDEX('Reference Data'!$D$2:$D$6,MATCH($M22,'Reference Data'!$E$2:$E$6,0)),"")</f>
        <v/>
      </c>
      <c r="M22" s="21" t="str">
        <f>IF($G22="","",MEDIAN('Reference Data'!$H$1,'Reference Data'!$H$2,$G22+3*IF($G22='Reference Data'!$H$2,1,-1)))</f>
        <v/>
      </c>
      <c r="N22" s="18" t="str">
        <f>IFERROR(INDEX('Reference Data'!$D$2:$D$6,MATCH($O22,'Reference Data'!$E$2:$E$6,0)),"")</f>
        <v/>
      </c>
      <c r="O22" s="22" t="str">
        <f>IF($G22="","",MEDIAN('Reference Data'!$H$1,'Reference Data'!$H$2,$G22+4*IF($G22='Reference Data'!$H$2,1,-1)))</f>
        <v/>
      </c>
      <c r="P22" s="15"/>
      <c r="Q22" s="18"/>
      <c r="R22" s="20"/>
      <c r="S22" s="39" t="str">
        <f>IF($D22="","",IF($D22='Reference Data'!$A$11,"",IFERROR(IF(VLOOKUP($D22,'Reference Data'!$A$9:$C$11,3,FALSE)="",1,VLOOKUP($D22,'Reference Data'!$A$9:$C$11,3,FALSE)),1)))</f>
        <v/>
      </c>
      <c r="T22" s="40" t="str">
        <f>IF($D22="","",IFERROR(VLOOKUP($D22,'Reference Data'!$A$9:$B$11,2,FALSE),""))</f>
        <v/>
      </c>
      <c r="U22" s="15"/>
    </row>
    <row r="23" spans="1:21" ht="22.05" customHeight="1" x14ac:dyDescent="0.4">
      <c r="A23" s="43"/>
      <c r="B23" s="46"/>
      <c r="C23" s="12"/>
      <c r="D23" s="13"/>
      <c r="E23" s="14"/>
      <c r="F23" s="15" t="str">
        <f>IFERROR(INDEX('Reference Data'!$D$2:$D$6,MATCH($G23,'Reference Data'!$E$2:$E$6,0)),"")</f>
        <v/>
      </c>
      <c r="G23" s="21" t="str">
        <f>IF($D23="Scale",'Reference Data'!$H$2,"")</f>
        <v/>
      </c>
      <c r="H23" s="17" t="str">
        <f>IFERROR(INDEX('Reference Data'!$D$2:$D$6,MATCH($I23,'Reference Data'!$E$2:$E$6,0)),"")</f>
        <v/>
      </c>
      <c r="I23" s="21" t="str">
        <f>IF($G23="","",MEDIAN('Reference Data'!$H$1,'Reference Data'!$H$2,$G23+1*IF($G23='Reference Data'!$H$2,1,-1)))</f>
        <v/>
      </c>
      <c r="J23" s="17" t="str">
        <f>IFERROR(INDEX('Reference Data'!$D$2:$D$6,MATCH($K23,'Reference Data'!$E$2:$E$6,0)),"")</f>
        <v/>
      </c>
      <c r="K23" s="21" t="str">
        <f>IF($G23="","",MEDIAN('Reference Data'!$H$1,'Reference Data'!$H$2,$G23+2*IF($G23='Reference Data'!$H$2,1,-1)))</f>
        <v/>
      </c>
      <c r="L23" s="17" t="str">
        <f>IFERROR(INDEX('Reference Data'!$D$2:$D$6,MATCH($M23,'Reference Data'!$E$2:$E$6,0)),"")</f>
        <v/>
      </c>
      <c r="M23" s="21" t="str">
        <f>IF($G23="","",MEDIAN('Reference Data'!$H$1,'Reference Data'!$H$2,$G23+3*IF($G23='Reference Data'!$H$2,1,-1)))</f>
        <v/>
      </c>
      <c r="N23" s="18" t="str">
        <f>IFERROR(INDEX('Reference Data'!$D$2:$D$6,MATCH($O23,'Reference Data'!$E$2:$E$6,0)),"")</f>
        <v/>
      </c>
      <c r="O23" s="22" t="str">
        <f>IF($G23="","",MEDIAN('Reference Data'!$H$1,'Reference Data'!$H$2,$G23+4*IF($G23='Reference Data'!$H$2,1,-1)))</f>
        <v/>
      </c>
      <c r="P23" s="15"/>
      <c r="Q23" s="18"/>
      <c r="R23" s="20"/>
      <c r="S23" s="39" t="str">
        <f>IF($D23="","",IF($D23='Reference Data'!$A$11,"",IFERROR(IF(VLOOKUP($D23,'Reference Data'!$A$9:$C$11,3,FALSE)="",1,VLOOKUP($D23,'Reference Data'!$A$9:$C$11,3,FALSE)),1)))</f>
        <v/>
      </c>
      <c r="T23" s="40" t="str">
        <f>IF($D23="","",IFERROR(VLOOKUP($D23,'Reference Data'!$A$9:$B$11,2,FALSE),""))</f>
        <v/>
      </c>
      <c r="U23" s="15"/>
    </row>
    <row r="24" spans="1:21" ht="22.05" customHeight="1" x14ac:dyDescent="0.4">
      <c r="A24" s="43"/>
      <c r="B24" s="46"/>
      <c r="C24" s="12"/>
      <c r="D24" s="13"/>
      <c r="E24" s="14"/>
      <c r="F24" s="15" t="str">
        <f>IFERROR(INDEX('Reference Data'!$D$2:$D$6,MATCH($G24,'Reference Data'!$E$2:$E$6,0)),"")</f>
        <v/>
      </c>
      <c r="G24" s="21" t="str">
        <f>IF($D24="Scale",'Reference Data'!$H$2,"")</f>
        <v/>
      </c>
      <c r="H24" s="17" t="str">
        <f>IFERROR(INDEX('Reference Data'!$D$2:$D$6,MATCH($I24,'Reference Data'!$E$2:$E$6,0)),"")</f>
        <v/>
      </c>
      <c r="I24" s="21" t="str">
        <f>IF($G24="","",MEDIAN('Reference Data'!$H$1,'Reference Data'!$H$2,$G24+1*IF($G24='Reference Data'!$H$2,1,-1)))</f>
        <v/>
      </c>
      <c r="J24" s="17" t="str">
        <f>IFERROR(INDEX('Reference Data'!$D$2:$D$6,MATCH($K24,'Reference Data'!$E$2:$E$6,0)),"")</f>
        <v/>
      </c>
      <c r="K24" s="21" t="str">
        <f>IF($G24="","",MEDIAN('Reference Data'!$H$1,'Reference Data'!$H$2,$G24+2*IF($G24='Reference Data'!$H$2,1,-1)))</f>
        <v/>
      </c>
      <c r="L24" s="17" t="str">
        <f>IFERROR(INDEX('Reference Data'!$D$2:$D$6,MATCH($M24,'Reference Data'!$E$2:$E$6,0)),"")</f>
        <v/>
      </c>
      <c r="M24" s="21" t="str">
        <f>IF($G24="","",MEDIAN('Reference Data'!$H$1,'Reference Data'!$H$2,$G24+3*IF($G24='Reference Data'!$H$2,1,-1)))</f>
        <v/>
      </c>
      <c r="N24" s="18" t="str">
        <f>IFERROR(INDEX('Reference Data'!$D$2:$D$6,MATCH($O24,'Reference Data'!$E$2:$E$6,0)),"")</f>
        <v/>
      </c>
      <c r="O24" s="22" t="str">
        <f>IF($G24="","",MEDIAN('Reference Data'!$H$1,'Reference Data'!$H$2,$G24+4*IF($G24='Reference Data'!$H$2,1,-1)))</f>
        <v/>
      </c>
      <c r="P24" s="15"/>
      <c r="Q24" s="18"/>
      <c r="R24" s="20"/>
      <c r="S24" s="39" t="str">
        <f>IF($D24="","",IF($D24='Reference Data'!$A$11,"",IFERROR(IF(VLOOKUP($D24,'Reference Data'!$A$9:$C$11,3,FALSE)="",1,VLOOKUP($D24,'Reference Data'!$A$9:$C$11,3,FALSE)),1)))</f>
        <v/>
      </c>
      <c r="T24" s="40" t="str">
        <f>IF($D24="","",IFERROR(VLOOKUP($D24,'Reference Data'!$A$9:$B$11,2,FALSE),""))</f>
        <v/>
      </c>
      <c r="U24" s="15"/>
    </row>
    <row r="25" spans="1:21" ht="22.05" customHeight="1" x14ac:dyDescent="0.4">
      <c r="A25" s="43"/>
      <c r="B25" s="46"/>
      <c r="C25" s="12"/>
      <c r="D25" s="13"/>
      <c r="E25" s="14"/>
      <c r="F25" s="15" t="str">
        <f>IFERROR(INDEX('Reference Data'!$D$2:$D$6,MATCH($G25,'Reference Data'!$E$2:$E$6,0)),"")</f>
        <v/>
      </c>
      <c r="G25" s="21" t="str">
        <f>IF($D25="Scale",'Reference Data'!$H$2,"")</f>
        <v/>
      </c>
      <c r="H25" s="17" t="str">
        <f>IFERROR(INDEX('Reference Data'!$D$2:$D$6,MATCH($I25,'Reference Data'!$E$2:$E$6,0)),"")</f>
        <v/>
      </c>
      <c r="I25" s="21" t="str">
        <f>IF($G25="","",MEDIAN('Reference Data'!$H$1,'Reference Data'!$H$2,$G25+1*IF($G25='Reference Data'!$H$2,1,-1)))</f>
        <v/>
      </c>
      <c r="J25" s="17" t="str">
        <f>IFERROR(INDEX('Reference Data'!$D$2:$D$6,MATCH($K25,'Reference Data'!$E$2:$E$6,0)),"")</f>
        <v/>
      </c>
      <c r="K25" s="21" t="str">
        <f>IF($G25="","",MEDIAN('Reference Data'!$H$1,'Reference Data'!$H$2,$G25+2*IF($G25='Reference Data'!$H$2,1,-1)))</f>
        <v/>
      </c>
      <c r="L25" s="17" t="str">
        <f>IFERROR(INDEX('Reference Data'!$D$2:$D$6,MATCH($M25,'Reference Data'!$E$2:$E$6,0)),"")</f>
        <v/>
      </c>
      <c r="M25" s="21" t="str">
        <f>IF($G25="","",MEDIAN('Reference Data'!$H$1,'Reference Data'!$H$2,$G25+3*IF($G25='Reference Data'!$H$2,1,-1)))</f>
        <v/>
      </c>
      <c r="N25" s="18" t="str">
        <f>IFERROR(INDEX('Reference Data'!$D$2:$D$6,MATCH($O25,'Reference Data'!$E$2:$E$6,0)),"")</f>
        <v/>
      </c>
      <c r="O25" s="22" t="str">
        <f>IF($G25="","",MEDIAN('Reference Data'!$H$1,'Reference Data'!$H$2,$G25+4*IF($G25='Reference Data'!$H$2,1,-1)))</f>
        <v/>
      </c>
      <c r="P25" s="15"/>
      <c r="Q25" s="18"/>
      <c r="R25" s="20"/>
      <c r="S25" s="39" t="str">
        <f>IF($D25="","",IF($D25='Reference Data'!$A$11,"",IFERROR(IF(VLOOKUP($D25,'Reference Data'!$A$9:$C$11,3,FALSE)="",1,VLOOKUP($D25,'Reference Data'!$A$9:$C$11,3,FALSE)),1)))</f>
        <v/>
      </c>
      <c r="T25" s="40" t="str">
        <f>IF($D25="","",IFERROR(VLOOKUP($D25,'Reference Data'!$A$9:$B$11,2,FALSE),""))</f>
        <v/>
      </c>
      <c r="U25" s="15"/>
    </row>
    <row r="26" spans="1:21" ht="22.05" customHeight="1" x14ac:dyDescent="0.4">
      <c r="A26" s="43"/>
      <c r="B26" s="46"/>
      <c r="C26" s="12"/>
      <c r="D26" s="13"/>
      <c r="E26" s="14"/>
      <c r="F26" s="15" t="str">
        <f>IFERROR(INDEX('Reference Data'!$D$2:$D$6,MATCH($G26,'Reference Data'!$E$2:$E$6,0)),"")</f>
        <v/>
      </c>
      <c r="G26" s="21" t="str">
        <f>IF($D26="Scale",'Reference Data'!$H$2,"")</f>
        <v/>
      </c>
      <c r="H26" s="17" t="str">
        <f>IFERROR(INDEX('Reference Data'!$D$2:$D$6,MATCH($I26,'Reference Data'!$E$2:$E$6,0)),"")</f>
        <v/>
      </c>
      <c r="I26" s="21" t="str">
        <f>IF($G26="","",MEDIAN('Reference Data'!$H$1,'Reference Data'!$H$2,$G26+1*IF($G26='Reference Data'!$H$2,1,-1)))</f>
        <v/>
      </c>
      <c r="J26" s="17" t="str">
        <f>IFERROR(INDEX('Reference Data'!$D$2:$D$6,MATCH($K26,'Reference Data'!$E$2:$E$6,0)),"")</f>
        <v/>
      </c>
      <c r="K26" s="21" t="str">
        <f>IF($G26="","",MEDIAN('Reference Data'!$H$1,'Reference Data'!$H$2,$G26+2*IF($G26='Reference Data'!$H$2,1,-1)))</f>
        <v/>
      </c>
      <c r="L26" s="17" t="str">
        <f>IFERROR(INDEX('Reference Data'!$D$2:$D$6,MATCH($M26,'Reference Data'!$E$2:$E$6,0)),"")</f>
        <v/>
      </c>
      <c r="M26" s="21" t="str">
        <f>IF($G26="","",MEDIAN('Reference Data'!$H$1,'Reference Data'!$H$2,$G26+3*IF($G26='Reference Data'!$H$2,1,-1)))</f>
        <v/>
      </c>
      <c r="N26" s="18" t="str">
        <f>IFERROR(INDEX('Reference Data'!$D$2:$D$6,MATCH($O26,'Reference Data'!$E$2:$E$6,0)),"")</f>
        <v/>
      </c>
      <c r="O26" s="22" t="str">
        <f>IF($G26="","",MEDIAN('Reference Data'!$H$1,'Reference Data'!$H$2,$G26+4*IF($G26='Reference Data'!$H$2,1,-1)))</f>
        <v/>
      </c>
      <c r="P26" s="15"/>
      <c r="Q26" s="18"/>
      <c r="R26" s="20"/>
      <c r="S26" s="39" t="str">
        <f>IF($D26="","",IF($D26='Reference Data'!$A$11,"",IFERROR(IF(VLOOKUP($D26,'Reference Data'!$A$9:$C$11,3,FALSE)="",1,VLOOKUP($D26,'Reference Data'!$A$9:$C$11,3,FALSE)),1)))</f>
        <v/>
      </c>
      <c r="T26" s="40" t="str">
        <f>IF($D26="","",IFERROR(VLOOKUP($D26,'Reference Data'!$A$9:$B$11,2,FALSE),""))</f>
        <v/>
      </c>
      <c r="U26" s="15"/>
    </row>
    <row r="27" spans="1:21" ht="22.05" customHeight="1" x14ac:dyDescent="0.4">
      <c r="A27" s="43"/>
      <c r="B27" s="46"/>
      <c r="C27" s="12"/>
      <c r="D27" s="13"/>
      <c r="E27" s="14"/>
      <c r="F27" s="15" t="str">
        <f>IFERROR(INDEX('Reference Data'!$D$2:$D$6,MATCH($G27,'Reference Data'!$E$2:$E$6,0)),"")</f>
        <v/>
      </c>
      <c r="G27" s="21" t="str">
        <f>IF($D27="Scale",'Reference Data'!$H$2,"")</f>
        <v/>
      </c>
      <c r="H27" s="17" t="str">
        <f>IFERROR(INDEX('Reference Data'!$D$2:$D$6,MATCH($I27,'Reference Data'!$E$2:$E$6,0)),"")</f>
        <v/>
      </c>
      <c r="I27" s="21" t="str">
        <f>IF($G27="","",MEDIAN('Reference Data'!$H$1,'Reference Data'!$H$2,$G27+1*IF($G27='Reference Data'!$H$2,1,-1)))</f>
        <v/>
      </c>
      <c r="J27" s="17" t="str">
        <f>IFERROR(INDEX('Reference Data'!$D$2:$D$6,MATCH($K27,'Reference Data'!$E$2:$E$6,0)),"")</f>
        <v/>
      </c>
      <c r="K27" s="21" t="str">
        <f>IF($G27="","",MEDIAN('Reference Data'!$H$1,'Reference Data'!$H$2,$G27+2*IF($G27='Reference Data'!$H$2,1,-1)))</f>
        <v/>
      </c>
      <c r="L27" s="17" t="str">
        <f>IFERROR(INDEX('Reference Data'!$D$2:$D$6,MATCH($M27,'Reference Data'!$E$2:$E$6,0)),"")</f>
        <v/>
      </c>
      <c r="M27" s="21" t="str">
        <f>IF($G27="","",MEDIAN('Reference Data'!$H$1,'Reference Data'!$H$2,$G27+3*IF($G27='Reference Data'!$H$2,1,-1)))</f>
        <v/>
      </c>
      <c r="N27" s="18" t="str">
        <f>IFERROR(INDEX('Reference Data'!$D$2:$D$6,MATCH($O27,'Reference Data'!$E$2:$E$6,0)),"")</f>
        <v/>
      </c>
      <c r="O27" s="22" t="str">
        <f>IF($G27="","",MEDIAN('Reference Data'!$H$1,'Reference Data'!$H$2,$G27+4*IF($G27='Reference Data'!$H$2,1,-1)))</f>
        <v/>
      </c>
      <c r="P27" s="15"/>
      <c r="Q27" s="18"/>
      <c r="R27" s="20"/>
      <c r="S27" s="39" t="str">
        <f>IF($D27="","",IF($D27='Reference Data'!$A$11,"",IFERROR(IF(VLOOKUP($D27,'Reference Data'!$A$9:$C$11,3,FALSE)="",1,VLOOKUP($D27,'Reference Data'!$A$9:$C$11,3,FALSE)),1)))</f>
        <v/>
      </c>
      <c r="T27" s="40" t="str">
        <f>IF($D27="","",IFERROR(VLOOKUP($D27,'Reference Data'!$A$9:$B$11,2,FALSE),""))</f>
        <v/>
      </c>
      <c r="U27" s="15"/>
    </row>
    <row r="28" spans="1:21" ht="22.05" customHeight="1" x14ac:dyDescent="0.4">
      <c r="A28" s="43"/>
      <c r="B28" s="46"/>
      <c r="C28" s="12"/>
      <c r="D28" s="13"/>
      <c r="E28" s="14"/>
      <c r="F28" s="15" t="str">
        <f>IFERROR(INDEX('Reference Data'!$D$2:$D$6,MATCH($G28,'Reference Data'!$E$2:$E$6,0)),"")</f>
        <v/>
      </c>
      <c r="G28" s="21" t="str">
        <f>IF($D28="Scale",'Reference Data'!$H$2,"")</f>
        <v/>
      </c>
      <c r="H28" s="17" t="str">
        <f>IFERROR(INDEX('Reference Data'!$D$2:$D$6,MATCH($I28,'Reference Data'!$E$2:$E$6,0)),"")</f>
        <v/>
      </c>
      <c r="I28" s="21" t="str">
        <f>IF($G28="","",MEDIAN('Reference Data'!$H$1,'Reference Data'!$H$2,$G28+1*IF($G28='Reference Data'!$H$2,1,-1)))</f>
        <v/>
      </c>
      <c r="J28" s="17" t="str">
        <f>IFERROR(INDEX('Reference Data'!$D$2:$D$6,MATCH($K28,'Reference Data'!$E$2:$E$6,0)),"")</f>
        <v/>
      </c>
      <c r="K28" s="21" t="str">
        <f>IF($G28="","",MEDIAN('Reference Data'!$H$1,'Reference Data'!$H$2,$G28+2*IF($G28='Reference Data'!$H$2,1,-1)))</f>
        <v/>
      </c>
      <c r="L28" s="17" t="str">
        <f>IFERROR(INDEX('Reference Data'!$D$2:$D$6,MATCH($M28,'Reference Data'!$E$2:$E$6,0)),"")</f>
        <v/>
      </c>
      <c r="M28" s="21" t="str">
        <f>IF($G28="","",MEDIAN('Reference Data'!$H$1,'Reference Data'!$H$2,$G28+3*IF($G28='Reference Data'!$H$2,1,-1)))</f>
        <v/>
      </c>
      <c r="N28" s="18" t="str">
        <f>IFERROR(INDEX('Reference Data'!$D$2:$D$6,MATCH($O28,'Reference Data'!$E$2:$E$6,0)),"")</f>
        <v/>
      </c>
      <c r="O28" s="22" t="str">
        <f>IF($G28="","",MEDIAN('Reference Data'!$H$1,'Reference Data'!$H$2,$G28+4*IF($G28='Reference Data'!$H$2,1,-1)))</f>
        <v/>
      </c>
      <c r="P28" s="15"/>
      <c r="Q28" s="18"/>
      <c r="R28" s="20"/>
      <c r="S28" s="39" t="str">
        <f>IF($D28="","",IF($D28='Reference Data'!$A$11,"",IFERROR(IF(VLOOKUP($D28,'Reference Data'!$A$9:$C$11,3,FALSE)="",1,VLOOKUP($D28,'Reference Data'!$A$9:$C$11,3,FALSE)),1)))</f>
        <v/>
      </c>
      <c r="T28" s="40" t="str">
        <f>IF($D28="","",IFERROR(VLOOKUP($D28,'Reference Data'!$A$9:$B$11,2,FALSE),""))</f>
        <v/>
      </c>
      <c r="U28" s="15"/>
    </row>
    <row r="29" spans="1:21" ht="22.05" customHeight="1" x14ac:dyDescent="0.4">
      <c r="A29" s="43"/>
      <c r="B29" s="46"/>
      <c r="C29" s="12"/>
      <c r="D29" s="13"/>
      <c r="E29" s="14"/>
      <c r="F29" s="15" t="str">
        <f>IFERROR(INDEX('Reference Data'!$D$2:$D$6,MATCH($G29,'Reference Data'!$E$2:$E$6,0)),"")</f>
        <v/>
      </c>
      <c r="G29" s="21" t="str">
        <f>IF($D29="Scale",'Reference Data'!$H$2,"")</f>
        <v/>
      </c>
      <c r="H29" s="17" t="str">
        <f>IFERROR(INDEX('Reference Data'!$D$2:$D$6,MATCH($I29,'Reference Data'!$E$2:$E$6,0)),"")</f>
        <v/>
      </c>
      <c r="I29" s="21" t="str">
        <f>IF($G29="","",MEDIAN('Reference Data'!$H$1,'Reference Data'!$H$2,$G29+1*IF($G29='Reference Data'!$H$2,1,-1)))</f>
        <v/>
      </c>
      <c r="J29" s="17" t="str">
        <f>IFERROR(INDEX('Reference Data'!$D$2:$D$6,MATCH($K29,'Reference Data'!$E$2:$E$6,0)),"")</f>
        <v/>
      </c>
      <c r="K29" s="21" t="str">
        <f>IF($G29="","",MEDIAN('Reference Data'!$H$1,'Reference Data'!$H$2,$G29+2*IF($G29='Reference Data'!$H$2,1,-1)))</f>
        <v/>
      </c>
      <c r="L29" s="17" t="str">
        <f>IFERROR(INDEX('Reference Data'!$D$2:$D$6,MATCH($M29,'Reference Data'!$E$2:$E$6,0)),"")</f>
        <v/>
      </c>
      <c r="M29" s="21" t="str">
        <f>IF($G29="","",MEDIAN('Reference Data'!$H$1,'Reference Data'!$H$2,$G29+3*IF($G29='Reference Data'!$H$2,1,-1)))</f>
        <v/>
      </c>
      <c r="N29" s="18" t="str">
        <f>IFERROR(INDEX('Reference Data'!$D$2:$D$6,MATCH($O29,'Reference Data'!$E$2:$E$6,0)),"")</f>
        <v/>
      </c>
      <c r="O29" s="22" t="str">
        <f>IF($G29="","",MEDIAN('Reference Data'!$H$1,'Reference Data'!$H$2,$G29+4*IF($G29='Reference Data'!$H$2,1,-1)))</f>
        <v/>
      </c>
      <c r="P29" s="15"/>
      <c r="Q29" s="18"/>
      <c r="R29" s="20"/>
      <c r="S29" s="39" t="str">
        <f>IF($D29="","",IF($D29='Reference Data'!$A$11,"",IFERROR(IF(VLOOKUP($D29,'Reference Data'!$A$9:$C$11,3,FALSE)="",1,VLOOKUP($D29,'Reference Data'!$A$9:$C$11,3,FALSE)),1)))</f>
        <v/>
      </c>
      <c r="T29" s="40" t="str">
        <f>IF($D29="","",IFERROR(VLOOKUP($D29,'Reference Data'!$A$9:$B$11,2,FALSE),""))</f>
        <v/>
      </c>
      <c r="U29" s="15"/>
    </row>
    <row r="30" spans="1:21" ht="22.05" customHeight="1" x14ac:dyDescent="0.4">
      <c r="A30" s="43"/>
      <c r="B30" s="46"/>
      <c r="C30" s="12"/>
      <c r="D30" s="13"/>
      <c r="E30" s="14"/>
      <c r="F30" s="15" t="str">
        <f>IFERROR(INDEX('Reference Data'!$D$2:$D$6,MATCH($G30,'Reference Data'!$E$2:$E$6,0)),"")</f>
        <v/>
      </c>
      <c r="G30" s="21" t="str">
        <f>IF($D30="Scale",'Reference Data'!$H$2,"")</f>
        <v/>
      </c>
      <c r="H30" s="17" t="str">
        <f>IFERROR(INDEX('Reference Data'!$D$2:$D$6,MATCH($I30,'Reference Data'!$E$2:$E$6,0)),"")</f>
        <v/>
      </c>
      <c r="I30" s="21" t="str">
        <f>IF($G30="","",MEDIAN('Reference Data'!$H$1,'Reference Data'!$H$2,$G30+1*IF($G30='Reference Data'!$H$2,1,-1)))</f>
        <v/>
      </c>
      <c r="J30" s="17" t="str">
        <f>IFERROR(INDEX('Reference Data'!$D$2:$D$6,MATCH($K30,'Reference Data'!$E$2:$E$6,0)),"")</f>
        <v/>
      </c>
      <c r="K30" s="21" t="str">
        <f>IF($G30="","",MEDIAN('Reference Data'!$H$1,'Reference Data'!$H$2,$G30+2*IF($G30='Reference Data'!$H$2,1,-1)))</f>
        <v/>
      </c>
      <c r="L30" s="17" t="str">
        <f>IFERROR(INDEX('Reference Data'!$D$2:$D$6,MATCH($M30,'Reference Data'!$E$2:$E$6,0)),"")</f>
        <v/>
      </c>
      <c r="M30" s="21" t="str">
        <f>IF($G30="","",MEDIAN('Reference Data'!$H$1,'Reference Data'!$H$2,$G30+3*IF($G30='Reference Data'!$H$2,1,-1)))</f>
        <v/>
      </c>
      <c r="N30" s="18" t="str">
        <f>IFERROR(INDEX('Reference Data'!$D$2:$D$6,MATCH($O30,'Reference Data'!$E$2:$E$6,0)),"")</f>
        <v/>
      </c>
      <c r="O30" s="22" t="str">
        <f>IF($G30="","",MEDIAN('Reference Data'!$H$1,'Reference Data'!$H$2,$G30+4*IF($G30='Reference Data'!$H$2,1,-1)))</f>
        <v/>
      </c>
      <c r="P30" s="15"/>
      <c r="Q30" s="18"/>
      <c r="R30" s="20"/>
      <c r="S30" s="39" t="str">
        <f>IF($D30="","",IF($D30='Reference Data'!$A$11,"",IFERROR(IF(VLOOKUP($D30,'Reference Data'!$A$9:$C$11,3,FALSE)="",1,VLOOKUP($D30,'Reference Data'!$A$9:$C$11,3,FALSE)),1)))</f>
        <v/>
      </c>
      <c r="T30" s="40" t="str">
        <f>IF($D30="","",IFERROR(VLOOKUP($D30,'Reference Data'!$A$9:$B$11,2,FALSE),""))</f>
        <v/>
      </c>
      <c r="U30" s="15"/>
    </row>
    <row r="31" spans="1:21" ht="22.05" customHeight="1" x14ac:dyDescent="0.4">
      <c r="A31" s="43"/>
      <c r="B31" s="46"/>
      <c r="C31" s="12"/>
      <c r="D31" s="13"/>
      <c r="E31" s="14"/>
      <c r="F31" s="15" t="str">
        <f>IFERROR(INDEX('Reference Data'!$D$2:$D$6,MATCH($G31,'Reference Data'!$E$2:$E$6,0)),"")</f>
        <v/>
      </c>
      <c r="G31" s="21" t="str">
        <f>IF($D31="Scale",'Reference Data'!$H$2,"")</f>
        <v/>
      </c>
      <c r="H31" s="17" t="str">
        <f>IFERROR(INDEX('Reference Data'!$D$2:$D$6,MATCH($I31,'Reference Data'!$E$2:$E$6,0)),"")</f>
        <v/>
      </c>
      <c r="I31" s="21" t="str">
        <f>IF($G31="","",MEDIAN('Reference Data'!$H$1,'Reference Data'!$H$2,$G31+1*IF($G31='Reference Data'!$H$2,1,-1)))</f>
        <v/>
      </c>
      <c r="J31" s="17" t="str">
        <f>IFERROR(INDEX('Reference Data'!$D$2:$D$6,MATCH($K31,'Reference Data'!$E$2:$E$6,0)),"")</f>
        <v/>
      </c>
      <c r="K31" s="21" t="str">
        <f>IF($G31="","",MEDIAN('Reference Data'!$H$1,'Reference Data'!$H$2,$G31+2*IF($G31='Reference Data'!$H$2,1,-1)))</f>
        <v/>
      </c>
      <c r="L31" s="17" t="str">
        <f>IFERROR(INDEX('Reference Data'!$D$2:$D$6,MATCH($M31,'Reference Data'!$E$2:$E$6,0)),"")</f>
        <v/>
      </c>
      <c r="M31" s="21" t="str">
        <f>IF($G31="","",MEDIAN('Reference Data'!$H$1,'Reference Data'!$H$2,$G31+3*IF($G31='Reference Data'!$H$2,1,-1)))</f>
        <v/>
      </c>
      <c r="N31" s="18" t="str">
        <f>IFERROR(INDEX('Reference Data'!$D$2:$D$6,MATCH($O31,'Reference Data'!$E$2:$E$6,0)),"")</f>
        <v/>
      </c>
      <c r="O31" s="22" t="str">
        <f>IF($G31="","",MEDIAN('Reference Data'!$H$1,'Reference Data'!$H$2,$G31+4*IF($G31='Reference Data'!$H$2,1,-1)))</f>
        <v/>
      </c>
      <c r="P31" s="15"/>
      <c r="Q31" s="18"/>
      <c r="R31" s="20"/>
      <c r="S31" s="39" t="str">
        <f>IF($D31="","",IF($D31='Reference Data'!$A$11,"",IFERROR(IF(VLOOKUP($D31,'Reference Data'!$A$9:$C$11,3,FALSE)="",1,VLOOKUP($D31,'Reference Data'!$A$9:$C$11,3,FALSE)),1)))</f>
        <v/>
      </c>
      <c r="T31" s="40" t="str">
        <f>IF($D31="","",IFERROR(VLOOKUP($D31,'Reference Data'!$A$9:$B$11,2,FALSE),""))</f>
        <v/>
      </c>
      <c r="U31" s="15"/>
    </row>
    <row r="32" spans="1:21" ht="22.05" customHeight="1" x14ac:dyDescent="0.4">
      <c r="A32" s="43"/>
      <c r="B32" s="46"/>
      <c r="C32" s="12"/>
      <c r="D32" s="13"/>
      <c r="E32" s="14"/>
      <c r="F32" s="15" t="str">
        <f>IFERROR(INDEX('Reference Data'!$D$2:$D$6,MATCH($G32,'Reference Data'!$E$2:$E$6,0)),"")</f>
        <v/>
      </c>
      <c r="G32" s="21" t="str">
        <f>IF($D32="Scale",'Reference Data'!$H$2,"")</f>
        <v/>
      </c>
      <c r="H32" s="17" t="str">
        <f>IFERROR(INDEX('Reference Data'!$D$2:$D$6,MATCH($I32,'Reference Data'!$E$2:$E$6,0)),"")</f>
        <v/>
      </c>
      <c r="I32" s="21" t="str">
        <f>IF($G32="","",MEDIAN('Reference Data'!$H$1,'Reference Data'!$H$2,$G32+1*IF($G32='Reference Data'!$H$2,1,-1)))</f>
        <v/>
      </c>
      <c r="J32" s="17" t="str">
        <f>IFERROR(INDEX('Reference Data'!$D$2:$D$6,MATCH($K32,'Reference Data'!$E$2:$E$6,0)),"")</f>
        <v/>
      </c>
      <c r="K32" s="21" t="str">
        <f>IF($G32="","",MEDIAN('Reference Data'!$H$1,'Reference Data'!$H$2,$G32+2*IF($G32='Reference Data'!$H$2,1,-1)))</f>
        <v/>
      </c>
      <c r="L32" s="17" t="str">
        <f>IFERROR(INDEX('Reference Data'!$D$2:$D$6,MATCH($M32,'Reference Data'!$E$2:$E$6,0)),"")</f>
        <v/>
      </c>
      <c r="M32" s="21" t="str">
        <f>IF($G32="","",MEDIAN('Reference Data'!$H$1,'Reference Data'!$H$2,$G32+3*IF($G32='Reference Data'!$H$2,1,-1)))</f>
        <v/>
      </c>
      <c r="N32" s="18" t="str">
        <f>IFERROR(INDEX('Reference Data'!$D$2:$D$6,MATCH($O32,'Reference Data'!$E$2:$E$6,0)),"")</f>
        <v/>
      </c>
      <c r="O32" s="22" t="str">
        <f>IF($G32="","",MEDIAN('Reference Data'!$H$1,'Reference Data'!$H$2,$G32+4*IF($G32='Reference Data'!$H$2,1,-1)))</f>
        <v/>
      </c>
      <c r="P32" s="15"/>
      <c r="Q32" s="18"/>
      <c r="R32" s="20"/>
      <c r="S32" s="39" t="str">
        <f>IF($D32="","",IF($D32='Reference Data'!$A$11,"",IFERROR(IF(VLOOKUP($D32,'Reference Data'!$A$9:$C$11,3,FALSE)="",1,VLOOKUP($D32,'Reference Data'!$A$9:$C$11,3,FALSE)),1)))</f>
        <v/>
      </c>
      <c r="T32" s="40" t="str">
        <f>IF($D32="","",IFERROR(VLOOKUP($D32,'Reference Data'!$A$9:$B$11,2,FALSE),""))</f>
        <v/>
      </c>
      <c r="U32" s="15"/>
    </row>
    <row r="33" spans="1:21" ht="22.05" customHeight="1" x14ac:dyDescent="0.4">
      <c r="A33" s="43"/>
      <c r="B33" s="46"/>
      <c r="C33" s="12"/>
      <c r="D33" s="13"/>
      <c r="E33" s="14"/>
      <c r="F33" s="15" t="str">
        <f>IFERROR(INDEX('Reference Data'!$D$2:$D$6,MATCH($G33,'Reference Data'!$E$2:$E$6,0)),"")</f>
        <v/>
      </c>
      <c r="G33" s="21" t="str">
        <f>IF($D33="Scale",'Reference Data'!$H$2,"")</f>
        <v/>
      </c>
      <c r="H33" s="17" t="str">
        <f>IFERROR(INDEX('Reference Data'!$D$2:$D$6,MATCH($I33,'Reference Data'!$E$2:$E$6,0)),"")</f>
        <v/>
      </c>
      <c r="I33" s="21" t="str">
        <f>IF($G33="","",MEDIAN('Reference Data'!$H$1,'Reference Data'!$H$2,$G33+1*IF($G33='Reference Data'!$H$2,1,-1)))</f>
        <v/>
      </c>
      <c r="J33" s="17" t="str">
        <f>IFERROR(INDEX('Reference Data'!$D$2:$D$6,MATCH($K33,'Reference Data'!$E$2:$E$6,0)),"")</f>
        <v/>
      </c>
      <c r="K33" s="21" t="str">
        <f>IF($G33="","",MEDIAN('Reference Data'!$H$1,'Reference Data'!$H$2,$G33+2*IF($G33='Reference Data'!$H$2,1,-1)))</f>
        <v/>
      </c>
      <c r="L33" s="17" t="str">
        <f>IFERROR(INDEX('Reference Data'!$D$2:$D$6,MATCH($M33,'Reference Data'!$E$2:$E$6,0)),"")</f>
        <v/>
      </c>
      <c r="M33" s="21" t="str">
        <f>IF($G33="","",MEDIAN('Reference Data'!$H$1,'Reference Data'!$H$2,$G33+3*IF($G33='Reference Data'!$H$2,1,-1)))</f>
        <v/>
      </c>
      <c r="N33" s="18" t="str">
        <f>IFERROR(INDEX('Reference Data'!$D$2:$D$6,MATCH($O33,'Reference Data'!$E$2:$E$6,0)),"")</f>
        <v/>
      </c>
      <c r="O33" s="22" t="str">
        <f>IF($G33="","",MEDIAN('Reference Data'!$H$1,'Reference Data'!$H$2,$G33+4*IF($G33='Reference Data'!$H$2,1,-1)))</f>
        <v/>
      </c>
      <c r="P33" s="15"/>
      <c r="Q33" s="18"/>
      <c r="R33" s="20"/>
      <c r="S33" s="39" t="str">
        <f>IF($D33="","",IF($D33='Reference Data'!$A$11,"",IFERROR(IF(VLOOKUP($D33,'Reference Data'!$A$9:$C$11,3,FALSE)="",1,VLOOKUP($D33,'Reference Data'!$A$9:$C$11,3,FALSE)),1)))</f>
        <v/>
      </c>
      <c r="T33" s="40" t="str">
        <f>IF($D33="","",IFERROR(VLOOKUP($D33,'Reference Data'!$A$9:$B$11,2,FALSE),""))</f>
        <v/>
      </c>
      <c r="U33" s="15"/>
    </row>
    <row r="34" spans="1:21" ht="22.05" customHeight="1" x14ac:dyDescent="0.4">
      <c r="A34" s="43"/>
      <c r="B34" s="46"/>
      <c r="C34" s="12"/>
      <c r="D34" s="13"/>
      <c r="E34" s="14"/>
      <c r="F34" s="15" t="str">
        <f>IFERROR(INDEX('Reference Data'!$D$2:$D$6,MATCH($G34,'Reference Data'!$E$2:$E$6,0)),"")</f>
        <v/>
      </c>
      <c r="G34" s="21" t="str">
        <f>IF($D34="Scale",'Reference Data'!$H$2,"")</f>
        <v/>
      </c>
      <c r="H34" s="17" t="str">
        <f>IFERROR(INDEX('Reference Data'!$D$2:$D$6,MATCH($I34,'Reference Data'!$E$2:$E$6,0)),"")</f>
        <v/>
      </c>
      <c r="I34" s="21" t="str">
        <f>IF($G34="","",MEDIAN('Reference Data'!$H$1,'Reference Data'!$H$2,$G34+1*IF($G34='Reference Data'!$H$2,1,-1)))</f>
        <v/>
      </c>
      <c r="J34" s="17" t="str">
        <f>IFERROR(INDEX('Reference Data'!$D$2:$D$6,MATCH($K34,'Reference Data'!$E$2:$E$6,0)),"")</f>
        <v/>
      </c>
      <c r="K34" s="21" t="str">
        <f>IF($G34="","",MEDIAN('Reference Data'!$H$1,'Reference Data'!$H$2,$G34+2*IF($G34='Reference Data'!$H$2,1,-1)))</f>
        <v/>
      </c>
      <c r="L34" s="17" t="str">
        <f>IFERROR(INDEX('Reference Data'!$D$2:$D$6,MATCH($M34,'Reference Data'!$E$2:$E$6,0)),"")</f>
        <v/>
      </c>
      <c r="M34" s="21" t="str">
        <f>IF($G34="","",MEDIAN('Reference Data'!$H$1,'Reference Data'!$H$2,$G34+3*IF($G34='Reference Data'!$H$2,1,-1)))</f>
        <v/>
      </c>
      <c r="N34" s="18" t="str">
        <f>IFERROR(INDEX('Reference Data'!$D$2:$D$6,MATCH($O34,'Reference Data'!$E$2:$E$6,0)),"")</f>
        <v/>
      </c>
      <c r="O34" s="22" t="str">
        <f>IF($G34="","",MEDIAN('Reference Data'!$H$1,'Reference Data'!$H$2,$G34+4*IF($G34='Reference Data'!$H$2,1,-1)))</f>
        <v/>
      </c>
      <c r="P34" s="15"/>
      <c r="Q34" s="18"/>
      <c r="R34" s="20"/>
      <c r="S34" s="39" t="str">
        <f>IF($D34="","",IF($D34='Reference Data'!$A$11,"",IFERROR(IF(VLOOKUP($D34,'Reference Data'!$A$9:$C$11,3,FALSE)="",1,VLOOKUP($D34,'Reference Data'!$A$9:$C$11,3,FALSE)),1)))</f>
        <v/>
      </c>
      <c r="T34" s="40" t="str">
        <f>IF($D34="","",IFERROR(VLOOKUP($D34,'Reference Data'!$A$9:$B$11,2,FALSE),""))</f>
        <v/>
      </c>
      <c r="U34" s="15"/>
    </row>
    <row r="35" spans="1:21" ht="22.05" customHeight="1" x14ac:dyDescent="0.4">
      <c r="A35" s="43"/>
      <c r="B35" s="46"/>
      <c r="C35" s="12"/>
      <c r="D35" s="13"/>
      <c r="E35" s="14"/>
      <c r="F35" s="15" t="str">
        <f>IFERROR(INDEX('Reference Data'!$D$2:$D$6,MATCH($G35,'Reference Data'!$E$2:$E$6,0)),"")</f>
        <v/>
      </c>
      <c r="G35" s="21" t="str">
        <f>IF($D35="Scale",'Reference Data'!$H$2,"")</f>
        <v/>
      </c>
      <c r="H35" s="17" t="str">
        <f>IFERROR(INDEX('Reference Data'!$D$2:$D$6,MATCH($I35,'Reference Data'!$E$2:$E$6,0)),"")</f>
        <v/>
      </c>
      <c r="I35" s="21" t="str">
        <f>IF($G35="","",MEDIAN('Reference Data'!$H$1,'Reference Data'!$H$2,$G35+1*IF($G35='Reference Data'!$H$2,1,-1)))</f>
        <v/>
      </c>
      <c r="J35" s="17" t="str">
        <f>IFERROR(INDEX('Reference Data'!$D$2:$D$6,MATCH($K35,'Reference Data'!$E$2:$E$6,0)),"")</f>
        <v/>
      </c>
      <c r="K35" s="21" t="str">
        <f>IF($G35="","",MEDIAN('Reference Data'!$H$1,'Reference Data'!$H$2,$G35+2*IF($G35='Reference Data'!$H$2,1,-1)))</f>
        <v/>
      </c>
      <c r="L35" s="17" t="str">
        <f>IFERROR(INDEX('Reference Data'!$D$2:$D$6,MATCH($M35,'Reference Data'!$E$2:$E$6,0)),"")</f>
        <v/>
      </c>
      <c r="M35" s="21" t="str">
        <f>IF($G35="","",MEDIAN('Reference Data'!$H$1,'Reference Data'!$H$2,$G35+3*IF($G35='Reference Data'!$H$2,1,-1)))</f>
        <v/>
      </c>
      <c r="N35" s="18" t="str">
        <f>IFERROR(INDEX('Reference Data'!$D$2:$D$6,MATCH($O35,'Reference Data'!$E$2:$E$6,0)),"")</f>
        <v/>
      </c>
      <c r="O35" s="22" t="str">
        <f>IF($G35="","",MEDIAN('Reference Data'!$H$1,'Reference Data'!$H$2,$G35+4*IF($G35='Reference Data'!$H$2,1,-1)))</f>
        <v/>
      </c>
      <c r="P35" s="15"/>
      <c r="Q35" s="18"/>
      <c r="R35" s="20"/>
      <c r="S35" s="39" t="str">
        <f>IF($D35="","",IF($D35='Reference Data'!$A$11,"",IFERROR(IF(VLOOKUP($D35,'Reference Data'!$A$9:$C$11,3,FALSE)="",1,VLOOKUP($D35,'Reference Data'!$A$9:$C$11,3,FALSE)),1)))</f>
        <v/>
      </c>
      <c r="T35" s="40" t="str">
        <f>IF($D35="","",IFERROR(VLOOKUP($D35,'Reference Data'!$A$9:$B$11,2,FALSE),""))</f>
        <v/>
      </c>
      <c r="U35" s="15"/>
    </row>
    <row r="36" spans="1:21" ht="22.05" customHeight="1" x14ac:dyDescent="0.4">
      <c r="A36" s="43"/>
      <c r="B36" s="46"/>
      <c r="C36" s="12"/>
      <c r="D36" s="13"/>
      <c r="E36" s="14"/>
      <c r="F36" s="15" t="str">
        <f>IFERROR(INDEX('Reference Data'!$D$2:$D$6,MATCH($G36,'Reference Data'!$E$2:$E$6,0)),"")</f>
        <v/>
      </c>
      <c r="G36" s="21" t="str">
        <f>IF($D36="Scale",'Reference Data'!$H$2,"")</f>
        <v/>
      </c>
      <c r="H36" s="17" t="str">
        <f>IFERROR(INDEX('Reference Data'!$D$2:$D$6,MATCH($I36,'Reference Data'!$E$2:$E$6,0)),"")</f>
        <v/>
      </c>
      <c r="I36" s="21" t="str">
        <f>IF($G36="","",MEDIAN('Reference Data'!$H$1,'Reference Data'!$H$2,$G36+1*IF($G36='Reference Data'!$H$2,1,-1)))</f>
        <v/>
      </c>
      <c r="J36" s="17" t="str">
        <f>IFERROR(INDEX('Reference Data'!$D$2:$D$6,MATCH($K36,'Reference Data'!$E$2:$E$6,0)),"")</f>
        <v/>
      </c>
      <c r="K36" s="21" t="str">
        <f>IF($G36="","",MEDIAN('Reference Data'!$H$1,'Reference Data'!$H$2,$G36+2*IF($G36='Reference Data'!$H$2,1,-1)))</f>
        <v/>
      </c>
      <c r="L36" s="17" t="str">
        <f>IFERROR(INDEX('Reference Data'!$D$2:$D$6,MATCH($M36,'Reference Data'!$E$2:$E$6,0)),"")</f>
        <v/>
      </c>
      <c r="M36" s="21" t="str">
        <f>IF($G36="","",MEDIAN('Reference Data'!$H$1,'Reference Data'!$H$2,$G36+3*IF($G36='Reference Data'!$H$2,1,-1)))</f>
        <v/>
      </c>
      <c r="N36" s="18" t="str">
        <f>IFERROR(INDEX('Reference Data'!$D$2:$D$6,MATCH($O36,'Reference Data'!$E$2:$E$6,0)),"")</f>
        <v/>
      </c>
      <c r="O36" s="22" t="str">
        <f>IF($G36="","",MEDIAN('Reference Data'!$H$1,'Reference Data'!$H$2,$G36+4*IF($G36='Reference Data'!$H$2,1,-1)))</f>
        <v/>
      </c>
      <c r="P36" s="15"/>
      <c r="Q36" s="18"/>
      <c r="R36" s="20"/>
      <c r="S36" s="39" t="str">
        <f>IF($D36="","",IF($D36='Reference Data'!$A$11,"",IFERROR(IF(VLOOKUP($D36,'Reference Data'!$A$9:$C$11,3,FALSE)="",1,VLOOKUP($D36,'Reference Data'!$A$9:$C$11,3,FALSE)),1)))</f>
        <v/>
      </c>
      <c r="T36" s="40" t="str">
        <f>IF($D36="","",IFERROR(VLOOKUP($D36,'Reference Data'!$A$9:$B$11,2,FALSE),""))</f>
        <v/>
      </c>
      <c r="U36" s="15"/>
    </row>
    <row r="37" spans="1:21" ht="22.05" customHeight="1" x14ac:dyDescent="0.4">
      <c r="A37" s="43"/>
      <c r="B37" s="46"/>
      <c r="C37" s="12"/>
      <c r="D37" s="13"/>
      <c r="E37" s="14"/>
      <c r="F37" s="15" t="str">
        <f>IFERROR(INDEX('Reference Data'!$D$2:$D$6,MATCH($G37,'Reference Data'!$E$2:$E$6,0)),"")</f>
        <v/>
      </c>
      <c r="G37" s="21" t="str">
        <f>IF($D37="Scale",'Reference Data'!$H$2,"")</f>
        <v/>
      </c>
      <c r="H37" s="17" t="str">
        <f>IFERROR(INDEX('Reference Data'!$D$2:$D$6,MATCH($I37,'Reference Data'!$E$2:$E$6,0)),"")</f>
        <v/>
      </c>
      <c r="I37" s="21" t="str">
        <f>IF($G37="","",MEDIAN('Reference Data'!$H$1,'Reference Data'!$H$2,$G37+1*IF($G37='Reference Data'!$H$2,1,-1)))</f>
        <v/>
      </c>
      <c r="J37" s="17" t="str">
        <f>IFERROR(INDEX('Reference Data'!$D$2:$D$6,MATCH($K37,'Reference Data'!$E$2:$E$6,0)),"")</f>
        <v/>
      </c>
      <c r="K37" s="21" t="str">
        <f>IF($G37="","",MEDIAN('Reference Data'!$H$1,'Reference Data'!$H$2,$G37+2*IF($G37='Reference Data'!$H$2,1,-1)))</f>
        <v/>
      </c>
      <c r="L37" s="17" t="str">
        <f>IFERROR(INDEX('Reference Data'!$D$2:$D$6,MATCH($M37,'Reference Data'!$E$2:$E$6,0)),"")</f>
        <v/>
      </c>
      <c r="M37" s="21" t="str">
        <f>IF($G37="","",MEDIAN('Reference Data'!$H$1,'Reference Data'!$H$2,$G37+3*IF($G37='Reference Data'!$H$2,1,-1)))</f>
        <v/>
      </c>
      <c r="N37" s="18" t="str">
        <f>IFERROR(INDEX('Reference Data'!$D$2:$D$6,MATCH($O37,'Reference Data'!$E$2:$E$6,0)),"")</f>
        <v/>
      </c>
      <c r="O37" s="22" t="str">
        <f>IF($G37="","",MEDIAN('Reference Data'!$H$1,'Reference Data'!$H$2,$G37+4*IF($G37='Reference Data'!$H$2,1,-1)))</f>
        <v/>
      </c>
      <c r="P37" s="15"/>
      <c r="Q37" s="18"/>
      <c r="R37" s="20"/>
      <c r="S37" s="39" t="str">
        <f>IF($D37="","",IF($D37='Reference Data'!$A$11,"",IFERROR(IF(VLOOKUP($D37,'Reference Data'!$A$9:$C$11,3,FALSE)="",1,VLOOKUP($D37,'Reference Data'!$A$9:$C$11,3,FALSE)),1)))</f>
        <v/>
      </c>
      <c r="T37" s="40" t="str">
        <f>IF($D37="","",IFERROR(VLOOKUP($D37,'Reference Data'!$A$9:$B$11,2,FALSE),""))</f>
        <v/>
      </c>
      <c r="U37" s="15"/>
    </row>
    <row r="38" spans="1:21" ht="22.05" customHeight="1" x14ac:dyDescent="0.4">
      <c r="A38" s="43"/>
      <c r="B38" s="46"/>
      <c r="C38" s="12"/>
      <c r="D38" s="13"/>
      <c r="E38" s="14"/>
      <c r="F38" s="15" t="str">
        <f>IFERROR(INDEX('Reference Data'!$D$2:$D$6,MATCH($G38,'Reference Data'!$E$2:$E$6,0)),"")</f>
        <v/>
      </c>
      <c r="G38" s="21" t="str">
        <f>IF($D38="Scale",'Reference Data'!$H$2,"")</f>
        <v/>
      </c>
      <c r="H38" s="17" t="str">
        <f>IFERROR(INDEX('Reference Data'!$D$2:$D$6,MATCH($I38,'Reference Data'!$E$2:$E$6,0)),"")</f>
        <v/>
      </c>
      <c r="I38" s="21" t="str">
        <f>IF($G38="","",MEDIAN('Reference Data'!$H$1,'Reference Data'!$H$2,$G38+1*IF($G38='Reference Data'!$H$2,1,-1)))</f>
        <v/>
      </c>
      <c r="J38" s="17" t="str">
        <f>IFERROR(INDEX('Reference Data'!$D$2:$D$6,MATCH($K38,'Reference Data'!$E$2:$E$6,0)),"")</f>
        <v/>
      </c>
      <c r="K38" s="21" t="str">
        <f>IF($G38="","",MEDIAN('Reference Data'!$H$1,'Reference Data'!$H$2,$G38+2*IF($G38='Reference Data'!$H$2,1,-1)))</f>
        <v/>
      </c>
      <c r="L38" s="17" t="str">
        <f>IFERROR(INDEX('Reference Data'!$D$2:$D$6,MATCH($M38,'Reference Data'!$E$2:$E$6,0)),"")</f>
        <v/>
      </c>
      <c r="M38" s="21" t="str">
        <f>IF($G38="","",MEDIAN('Reference Data'!$H$1,'Reference Data'!$H$2,$G38+3*IF($G38='Reference Data'!$H$2,1,-1)))</f>
        <v/>
      </c>
      <c r="N38" s="18" t="str">
        <f>IFERROR(INDEX('Reference Data'!$D$2:$D$6,MATCH($O38,'Reference Data'!$E$2:$E$6,0)),"")</f>
        <v/>
      </c>
      <c r="O38" s="22" t="str">
        <f>IF($G38="","",MEDIAN('Reference Data'!$H$1,'Reference Data'!$H$2,$G38+4*IF($G38='Reference Data'!$H$2,1,-1)))</f>
        <v/>
      </c>
      <c r="P38" s="15"/>
      <c r="Q38" s="18"/>
      <c r="R38" s="20"/>
      <c r="S38" s="39" t="str">
        <f>IF($D38="","",IF($D38='Reference Data'!$A$11,"",IFERROR(IF(VLOOKUP($D38,'Reference Data'!$A$9:$C$11,3,FALSE)="",1,VLOOKUP($D38,'Reference Data'!$A$9:$C$11,3,FALSE)),1)))</f>
        <v/>
      </c>
      <c r="T38" s="40" t="str">
        <f>IF($D38="","",IFERROR(VLOOKUP($D38,'Reference Data'!$A$9:$B$11,2,FALSE),""))</f>
        <v/>
      </c>
      <c r="U38" s="15"/>
    </row>
    <row r="39" spans="1:21" ht="22.05" customHeight="1" x14ac:dyDescent="0.4">
      <c r="A39" s="43"/>
      <c r="B39" s="46"/>
      <c r="C39" s="12"/>
      <c r="D39" s="13"/>
      <c r="E39" s="14"/>
      <c r="F39" s="15" t="str">
        <f>IFERROR(INDEX('Reference Data'!$D$2:$D$6,MATCH($G39,'Reference Data'!$E$2:$E$6,0)),"")</f>
        <v/>
      </c>
      <c r="G39" s="21" t="str">
        <f>IF($D39="Scale",'Reference Data'!$H$2,"")</f>
        <v/>
      </c>
      <c r="H39" s="17" t="str">
        <f>IFERROR(INDEX('Reference Data'!$D$2:$D$6,MATCH($I39,'Reference Data'!$E$2:$E$6,0)),"")</f>
        <v/>
      </c>
      <c r="I39" s="21" t="str">
        <f>IF($G39="","",MEDIAN('Reference Data'!$H$1,'Reference Data'!$H$2,$G39+1*IF($G39='Reference Data'!$H$2,1,-1)))</f>
        <v/>
      </c>
      <c r="J39" s="17" t="str">
        <f>IFERROR(INDEX('Reference Data'!$D$2:$D$6,MATCH($K39,'Reference Data'!$E$2:$E$6,0)),"")</f>
        <v/>
      </c>
      <c r="K39" s="21" t="str">
        <f>IF($G39="","",MEDIAN('Reference Data'!$H$1,'Reference Data'!$H$2,$G39+2*IF($G39='Reference Data'!$H$2,1,-1)))</f>
        <v/>
      </c>
      <c r="L39" s="17" t="str">
        <f>IFERROR(INDEX('Reference Data'!$D$2:$D$6,MATCH($M39,'Reference Data'!$E$2:$E$6,0)),"")</f>
        <v/>
      </c>
      <c r="M39" s="21" t="str">
        <f>IF($G39="","",MEDIAN('Reference Data'!$H$1,'Reference Data'!$H$2,$G39+3*IF($G39='Reference Data'!$H$2,1,-1)))</f>
        <v/>
      </c>
      <c r="N39" s="18" t="str">
        <f>IFERROR(INDEX('Reference Data'!$D$2:$D$6,MATCH($O39,'Reference Data'!$E$2:$E$6,0)),"")</f>
        <v/>
      </c>
      <c r="O39" s="22" t="str">
        <f>IF($G39="","",MEDIAN('Reference Data'!$H$1,'Reference Data'!$H$2,$G39+4*IF($G39='Reference Data'!$H$2,1,-1)))</f>
        <v/>
      </c>
      <c r="P39" s="15"/>
      <c r="Q39" s="18"/>
      <c r="R39" s="20"/>
      <c r="S39" s="39" t="str">
        <f>IF($D39="","",IF($D39='Reference Data'!$A$11,"",IFERROR(IF(VLOOKUP($D39,'Reference Data'!$A$9:$C$11,3,FALSE)="",1,VLOOKUP($D39,'Reference Data'!$A$9:$C$11,3,FALSE)),1)))</f>
        <v/>
      </c>
      <c r="T39" s="40" t="str">
        <f>IF($D39="","",IFERROR(VLOOKUP($D39,'Reference Data'!$A$9:$B$11,2,FALSE),""))</f>
        <v/>
      </c>
      <c r="U39" s="15"/>
    </row>
    <row r="40" spans="1:21" ht="22.05" customHeight="1" x14ac:dyDescent="0.4">
      <c r="A40" s="43"/>
      <c r="B40" s="46"/>
      <c r="C40" s="12"/>
      <c r="D40" s="13"/>
      <c r="E40" s="14"/>
      <c r="F40" s="15" t="str">
        <f>IFERROR(INDEX('Reference Data'!$D$2:$D$6,MATCH($G40,'Reference Data'!$E$2:$E$6,0)),"")</f>
        <v/>
      </c>
      <c r="G40" s="21" t="str">
        <f>IF($D40="Scale",'Reference Data'!$H$2,"")</f>
        <v/>
      </c>
      <c r="H40" s="17" t="str">
        <f>IFERROR(INDEX('Reference Data'!$D$2:$D$6,MATCH($I40,'Reference Data'!$E$2:$E$6,0)),"")</f>
        <v/>
      </c>
      <c r="I40" s="21" t="str">
        <f>IF($G40="","",MEDIAN('Reference Data'!$H$1,'Reference Data'!$H$2,$G40+1*IF($G40='Reference Data'!$H$2,1,-1)))</f>
        <v/>
      </c>
      <c r="J40" s="17" t="str">
        <f>IFERROR(INDEX('Reference Data'!$D$2:$D$6,MATCH($K40,'Reference Data'!$E$2:$E$6,0)),"")</f>
        <v/>
      </c>
      <c r="K40" s="21" t="str">
        <f>IF($G40="","",MEDIAN('Reference Data'!$H$1,'Reference Data'!$H$2,$G40+2*IF($G40='Reference Data'!$H$2,1,-1)))</f>
        <v/>
      </c>
      <c r="L40" s="17" t="str">
        <f>IFERROR(INDEX('Reference Data'!$D$2:$D$6,MATCH($M40,'Reference Data'!$E$2:$E$6,0)),"")</f>
        <v/>
      </c>
      <c r="M40" s="21" t="str">
        <f>IF($G40="","",MEDIAN('Reference Data'!$H$1,'Reference Data'!$H$2,$G40+3*IF($G40='Reference Data'!$H$2,1,-1)))</f>
        <v/>
      </c>
      <c r="N40" s="18" t="str">
        <f>IFERROR(INDEX('Reference Data'!$D$2:$D$6,MATCH($O40,'Reference Data'!$E$2:$E$6,0)),"")</f>
        <v/>
      </c>
      <c r="O40" s="22" t="str">
        <f>IF($G40="","",MEDIAN('Reference Data'!$H$1,'Reference Data'!$H$2,$G40+4*IF($G40='Reference Data'!$H$2,1,-1)))</f>
        <v/>
      </c>
      <c r="P40" s="15"/>
      <c r="Q40" s="18"/>
      <c r="R40" s="20"/>
      <c r="S40" s="39" t="str">
        <f>IF($D40="","",IF($D40='Reference Data'!$A$11,"",IFERROR(IF(VLOOKUP($D40,'Reference Data'!$A$9:$C$11,3,FALSE)="",1,VLOOKUP($D40,'Reference Data'!$A$9:$C$11,3,FALSE)),1)))</f>
        <v/>
      </c>
      <c r="T40" s="40" t="str">
        <f>IF($D40="","",IFERROR(VLOOKUP($D40,'Reference Data'!$A$9:$B$11,2,FALSE),""))</f>
        <v/>
      </c>
      <c r="U40" s="15"/>
    </row>
    <row r="41" spans="1:21" ht="22.05" customHeight="1" x14ac:dyDescent="0.4">
      <c r="A41" s="43"/>
      <c r="B41" s="46"/>
      <c r="C41" s="12"/>
      <c r="D41" s="13"/>
      <c r="E41" s="14"/>
      <c r="F41" s="15" t="str">
        <f>IFERROR(INDEX('Reference Data'!$D$2:$D$6,MATCH($G41,'Reference Data'!$E$2:$E$6,0)),"")</f>
        <v/>
      </c>
      <c r="G41" s="21" t="str">
        <f>IF($D41="Scale",'Reference Data'!$H$2,"")</f>
        <v/>
      </c>
      <c r="H41" s="17" t="str">
        <f>IFERROR(INDEX('Reference Data'!$D$2:$D$6,MATCH($I41,'Reference Data'!$E$2:$E$6,0)),"")</f>
        <v/>
      </c>
      <c r="I41" s="21" t="str">
        <f>IF($G41="","",MEDIAN('Reference Data'!$H$1,'Reference Data'!$H$2,$G41+1*IF($G41='Reference Data'!$H$2,1,-1)))</f>
        <v/>
      </c>
      <c r="J41" s="17" t="str">
        <f>IFERROR(INDEX('Reference Data'!$D$2:$D$6,MATCH($K41,'Reference Data'!$E$2:$E$6,0)),"")</f>
        <v/>
      </c>
      <c r="K41" s="21" t="str">
        <f>IF($G41="","",MEDIAN('Reference Data'!$H$1,'Reference Data'!$H$2,$G41+2*IF($G41='Reference Data'!$H$2,1,-1)))</f>
        <v/>
      </c>
      <c r="L41" s="17" t="str">
        <f>IFERROR(INDEX('Reference Data'!$D$2:$D$6,MATCH($M41,'Reference Data'!$E$2:$E$6,0)),"")</f>
        <v/>
      </c>
      <c r="M41" s="21" t="str">
        <f>IF($G41="","",MEDIAN('Reference Data'!$H$1,'Reference Data'!$H$2,$G41+3*IF($G41='Reference Data'!$H$2,1,-1)))</f>
        <v/>
      </c>
      <c r="N41" s="18" t="str">
        <f>IFERROR(INDEX('Reference Data'!$D$2:$D$6,MATCH($O41,'Reference Data'!$E$2:$E$6,0)),"")</f>
        <v/>
      </c>
      <c r="O41" s="22" t="str">
        <f>IF($G41="","",MEDIAN('Reference Data'!$H$1,'Reference Data'!$H$2,$G41+4*IF($G41='Reference Data'!$H$2,1,-1)))</f>
        <v/>
      </c>
      <c r="P41" s="15"/>
      <c r="Q41" s="18"/>
      <c r="R41" s="20"/>
      <c r="S41" s="39" t="str">
        <f>IF($D41="","",IF($D41='Reference Data'!$A$11,"",IFERROR(IF(VLOOKUP($D41,'Reference Data'!$A$9:$C$11,3,FALSE)="",1,VLOOKUP($D41,'Reference Data'!$A$9:$C$11,3,FALSE)),1)))</f>
        <v/>
      </c>
      <c r="T41" s="40" t="str">
        <f>IF($D41="","",IFERROR(VLOOKUP($D41,'Reference Data'!$A$9:$B$11,2,FALSE),""))</f>
        <v/>
      </c>
      <c r="U41" s="15"/>
    </row>
    <row r="42" spans="1:21" ht="22.05" customHeight="1" x14ac:dyDescent="0.4">
      <c r="A42" s="43"/>
      <c r="B42" s="46"/>
      <c r="C42" s="12"/>
      <c r="D42" s="13"/>
      <c r="E42" s="14"/>
      <c r="F42" s="15" t="str">
        <f>IFERROR(INDEX('Reference Data'!$D$2:$D$6,MATCH($G42,'Reference Data'!$E$2:$E$6,0)),"")</f>
        <v/>
      </c>
      <c r="G42" s="21" t="str">
        <f>IF($D42="Scale",'Reference Data'!$H$2,"")</f>
        <v/>
      </c>
      <c r="H42" s="17" t="str">
        <f>IFERROR(INDEX('Reference Data'!$D$2:$D$6,MATCH($I42,'Reference Data'!$E$2:$E$6,0)),"")</f>
        <v/>
      </c>
      <c r="I42" s="21" t="str">
        <f>IF($G42="","",MEDIAN('Reference Data'!$H$1,'Reference Data'!$H$2,$G42+1*IF($G42='Reference Data'!$H$2,1,-1)))</f>
        <v/>
      </c>
      <c r="J42" s="17" t="str">
        <f>IFERROR(INDEX('Reference Data'!$D$2:$D$6,MATCH($K42,'Reference Data'!$E$2:$E$6,0)),"")</f>
        <v/>
      </c>
      <c r="K42" s="21" t="str">
        <f>IF($G42="","",MEDIAN('Reference Data'!$H$1,'Reference Data'!$H$2,$G42+2*IF($G42='Reference Data'!$H$2,1,-1)))</f>
        <v/>
      </c>
      <c r="L42" s="17" t="str">
        <f>IFERROR(INDEX('Reference Data'!$D$2:$D$6,MATCH($M42,'Reference Data'!$E$2:$E$6,0)),"")</f>
        <v/>
      </c>
      <c r="M42" s="21" t="str">
        <f>IF($G42="","",MEDIAN('Reference Data'!$H$1,'Reference Data'!$H$2,$G42+3*IF($G42='Reference Data'!$H$2,1,-1)))</f>
        <v/>
      </c>
      <c r="N42" s="18" t="str">
        <f>IFERROR(INDEX('Reference Data'!$D$2:$D$6,MATCH($O42,'Reference Data'!$E$2:$E$6,0)),"")</f>
        <v/>
      </c>
      <c r="O42" s="22" t="str">
        <f>IF($G42="","",MEDIAN('Reference Data'!$H$1,'Reference Data'!$H$2,$G42+4*IF($G42='Reference Data'!$H$2,1,-1)))</f>
        <v/>
      </c>
      <c r="P42" s="15"/>
      <c r="Q42" s="18"/>
      <c r="R42" s="20"/>
      <c r="S42" s="39" t="str">
        <f>IF($D42="","",IF($D42='Reference Data'!$A$11,"",IFERROR(IF(VLOOKUP($D42,'Reference Data'!$A$9:$C$11,3,FALSE)="",1,VLOOKUP($D42,'Reference Data'!$A$9:$C$11,3,FALSE)),1)))</f>
        <v/>
      </c>
      <c r="T42" s="40" t="str">
        <f>IF($D42="","",IFERROR(VLOOKUP($D42,'Reference Data'!$A$9:$B$11,2,FALSE),""))</f>
        <v/>
      </c>
      <c r="U42" s="15"/>
    </row>
    <row r="43" spans="1:21" ht="22.05" customHeight="1" x14ac:dyDescent="0.4">
      <c r="A43" s="43"/>
      <c r="B43" s="46"/>
      <c r="C43" s="12"/>
      <c r="D43" s="13"/>
      <c r="E43" s="14"/>
      <c r="F43" s="15" t="str">
        <f>IFERROR(INDEX('Reference Data'!$D$2:$D$6,MATCH($G43,'Reference Data'!$E$2:$E$6,0)),"")</f>
        <v/>
      </c>
      <c r="G43" s="21" t="str">
        <f>IF($D43="Scale",'Reference Data'!$H$2,"")</f>
        <v/>
      </c>
      <c r="H43" s="17" t="str">
        <f>IFERROR(INDEX('Reference Data'!$D$2:$D$6,MATCH($I43,'Reference Data'!$E$2:$E$6,0)),"")</f>
        <v/>
      </c>
      <c r="I43" s="21" t="str">
        <f>IF($G43="","",MEDIAN('Reference Data'!$H$1,'Reference Data'!$H$2,$G43+1*IF($G43='Reference Data'!$H$2,1,-1)))</f>
        <v/>
      </c>
      <c r="J43" s="17" t="str">
        <f>IFERROR(INDEX('Reference Data'!$D$2:$D$6,MATCH($K43,'Reference Data'!$E$2:$E$6,0)),"")</f>
        <v/>
      </c>
      <c r="K43" s="21" t="str">
        <f>IF($G43="","",MEDIAN('Reference Data'!$H$1,'Reference Data'!$H$2,$G43+2*IF($G43='Reference Data'!$H$2,1,-1)))</f>
        <v/>
      </c>
      <c r="L43" s="17" t="str">
        <f>IFERROR(INDEX('Reference Data'!$D$2:$D$6,MATCH($M43,'Reference Data'!$E$2:$E$6,0)),"")</f>
        <v/>
      </c>
      <c r="M43" s="21" t="str">
        <f>IF($G43="","",MEDIAN('Reference Data'!$H$1,'Reference Data'!$H$2,$G43+3*IF($G43='Reference Data'!$H$2,1,-1)))</f>
        <v/>
      </c>
      <c r="N43" s="18" t="str">
        <f>IFERROR(INDEX('Reference Data'!$D$2:$D$6,MATCH($O43,'Reference Data'!$E$2:$E$6,0)),"")</f>
        <v/>
      </c>
      <c r="O43" s="22" t="str">
        <f>IF($G43="","",MEDIAN('Reference Data'!$H$1,'Reference Data'!$H$2,$G43+4*IF($G43='Reference Data'!$H$2,1,-1)))</f>
        <v/>
      </c>
      <c r="P43" s="15"/>
      <c r="Q43" s="18"/>
      <c r="R43" s="20"/>
      <c r="S43" s="39" t="str">
        <f>IF($D43="","",IF($D43='Reference Data'!$A$11,"",IFERROR(IF(VLOOKUP($D43,'Reference Data'!$A$9:$C$11,3,FALSE)="",1,VLOOKUP($D43,'Reference Data'!$A$9:$C$11,3,FALSE)),1)))</f>
        <v/>
      </c>
      <c r="T43" s="40" t="str">
        <f>IF($D43="","",IFERROR(VLOOKUP($D43,'Reference Data'!$A$9:$B$11,2,FALSE),""))</f>
        <v/>
      </c>
      <c r="U43" s="15"/>
    </row>
    <row r="44" spans="1:21" ht="22.05" customHeight="1" x14ac:dyDescent="0.4">
      <c r="A44" s="43"/>
      <c r="B44" s="46"/>
      <c r="C44" s="12"/>
      <c r="D44" s="13"/>
      <c r="E44" s="14"/>
      <c r="F44" s="15" t="str">
        <f>IFERROR(INDEX('Reference Data'!$D$2:$D$6,MATCH($G44,'Reference Data'!$E$2:$E$6,0)),"")</f>
        <v/>
      </c>
      <c r="G44" s="21" t="str">
        <f>IF($D44="Scale",'Reference Data'!$H$2,"")</f>
        <v/>
      </c>
      <c r="H44" s="17" t="str">
        <f>IFERROR(INDEX('Reference Data'!$D$2:$D$6,MATCH($I44,'Reference Data'!$E$2:$E$6,0)),"")</f>
        <v/>
      </c>
      <c r="I44" s="21" t="str">
        <f>IF($G44="","",MEDIAN('Reference Data'!$H$1,'Reference Data'!$H$2,$G44+1*IF($G44='Reference Data'!$H$2,1,-1)))</f>
        <v/>
      </c>
      <c r="J44" s="17" t="str">
        <f>IFERROR(INDEX('Reference Data'!$D$2:$D$6,MATCH($K44,'Reference Data'!$E$2:$E$6,0)),"")</f>
        <v/>
      </c>
      <c r="K44" s="21" t="str">
        <f>IF($G44="","",MEDIAN('Reference Data'!$H$1,'Reference Data'!$H$2,$G44+2*IF($G44='Reference Data'!$H$2,1,-1)))</f>
        <v/>
      </c>
      <c r="L44" s="17" t="str">
        <f>IFERROR(INDEX('Reference Data'!$D$2:$D$6,MATCH($M44,'Reference Data'!$E$2:$E$6,0)),"")</f>
        <v/>
      </c>
      <c r="M44" s="21" t="str">
        <f>IF($G44="","",MEDIAN('Reference Data'!$H$1,'Reference Data'!$H$2,$G44+3*IF($G44='Reference Data'!$H$2,1,-1)))</f>
        <v/>
      </c>
      <c r="N44" s="18" t="str">
        <f>IFERROR(INDEX('Reference Data'!$D$2:$D$6,MATCH($O44,'Reference Data'!$E$2:$E$6,0)),"")</f>
        <v/>
      </c>
      <c r="O44" s="22" t="str">
        <f>IF($G44="","",MEDIAN('Reference Data'!$H$1,'Reference Data'!$H$2,$G44+4*IF($G44='Reference Data'!$H$2,1,-1)))</f>
        <v/>
      </c>
      <c r="P44" s="15"/>
      <c r="Q44" s="18"/>
      <c r="R44" s="20"/>
      <c r="S44" s="39" t="str">
        <f>IF($D44="","",IF($D44='Reference Data'!$A$11,"",IFERROR(IF(VLOOKUP($D44,'Reference Data'!$A$9:$C$11,3,FALSE)="",1,VLOOKUP($D44,'Reference Data'!$A$9:$C$11,3,FALSE)),1)))</f>
        <v/>
      </c>
      <c r="T44" s="40" t="str">
        <f>IF($D44="","",IFERROR(VLOOKUP($D44,'Reference Data'!$A$9:$B$11,2,FALSE),""))</f>
        <v/>
      </c>
      <c r="U44" s="15"/>
    </row>
    <row r="45" spans="1:21" ht="22.05" customHeight="1" x14ac:dyDescent="0.4">
      <c r="A45" s="43"/>
      <c r="B45" s="46"/>
      <c r="C45" s="12"/>
      <c r="D45" s="13"/>
      <c r="E45" s="14"/>
      <c r="F45" s="15" t="str">
        <f>IFERROR(INDEX('Reference Data'!$D$2:$D$6,MATCH($G45,'Reference Data'!$E$2:$E$6,0)),"")</f>
        <v/>
      </c>
      <c r="G45" s="21" t="str">
        <f>IF($D45="Scale",'Reference Data'!$H$2,"")</f>
        <v/>
      </c>
      <c r="H45" s="17" t="str">
        <f>IFERROR(INDEX('Reference Data'!$D$2:$D$6,MATCH($I45,'Reference Data'!$E$2:$E$6,0)),"")</f>
        <v/>
      </c>
      <c r="I45" s="21" t="str">
        <f>IF($G45="","",MEDIAN('Reference Data'!$H$1,'Reference Data'!$H$2,$G45+1*IF($G45='Reference Data'!$H$2,1,-1)))</f>
        <v/>
      </c>
      <c r="J45" s="17" t="str">
        <f>IFERROR(INDEX('Reference Data'!$D$2:$D$6,MATCH($K45,'Reference Data'!$E$2:$E$6,0)),"")</f>
        <v/>
      </c>
      <c r="K45" s="21" t="str">
        <f>IF($G45="","",MEDIAN('Reference Data'!$H$1,'Reference Data'!$H$2,$G45+2*IF($G45='Reference Data'!$H$2,1,-1)))</f>
        <v/>
      </c>
      <c r="L45" s="17" t="str">
        <f>IFERROR(INDEX('Reference Data'!$D$2:$D$6,MATCH($M45,'Reference Data'!$E$2:$E$6,0)),"")</f>
        <v/>
      </c>
      <c r="M45" s="21" t="str">
        <f>IF($G45="","",MEDIAN('Reference Data'!$H$1,'Reference Data'!$H$2,$G45+3*IF($G45='Reference Data'!$H$2,1,-1)))</f>
        <v/>
      </c>
      <c r="N45" s="18" t="str">
        <f>IFERROR(INDEX('Reference Data'!$D$2:$D$6,MATCH($O45,'Reference Data'!$E$2:$E$6,0)),"")</f>
        <v/>
      </c>
      <c r="O45" s="22" t="str">
        <f>IF($G45="","",MEDIAN('Reference Data'!$H$1,'Reference Data'!$H$2,$G45+4*IF($G45='Reference Data'!$H$2,1,-1)))</f>
        <v/>
      </c>
      <c r="P45" s="15"/>
      <c r="Q45" s="18"/>
      <c r="R45" s="20"/>
      <c r="S45" s="39" t="str">
        <f>IF($D45="","",IF($D45='Reference Data'!$A$11,"",IFERROR(IF(VLOOKUP($D45,'Reference Data'!$A$9:$C$11,3,FALSE)="",1,VLOOKUP($D45,'Reference Data'!$A$9:$C$11,3,FALSE)),1)))</f>
        <v/>
      </c>
      <c r="T45" s="40" t="str">
        <f>IF($D45="","",IFERROR(VLOOKUP($D45,'Reference Data'!$A$9:$B$11,2,FALSE),""))</f>
        <v/>
      </c>
      <c r="U45" s="15"/>
    </row>
    <row r="46" spans="1:21" ht="22.05" customHeight="1" x14ac:dyDescent="0.4">
      <c r="A46" s="43"/>
      <c r="B46" s="46"/>
      <c r="C46" s="12"/>
      <c r="D46" s="13"/>
      <c r="E46" s="14"/>
      <c r="F46" s="15" t="str">
        <f>IFERROR(INDEX('Reference Data'!$D$2:$D$6,MATCH($G46,'Reference Data'!$E$2:$E$6,0)),"")</f>
        <v/>
      </c>
      <c r="G46" s="21" t="str">
        <f>IF($D46="Scale",'Reference Data'!$H$2,"")</f>
        <v/>
      </c>
      <c r="H46" s="17" t="str">
        <f>IFERROR(INDEX('Reference Data'!$D$2:$D$6,MATCH($I46,'Reference Data'!$E$2:$E$6,0)),"")</f>
        <v/>
      </c>
      <c r="I46" s="21" t="str">
        <f>IF($G46="","",MEDIAN('Reference Data'!$H$1,'Reference Data'!$H$2,$G46+1*IF($G46='Reference Data'!$H$2,1,-1)))</f>
        <v/>
      </c>
      <c r="J46" s="17" t="str">
        <f>IFERROR(INDEX('Reference Data'!$D$2:$D$6,MATCH($K46,'Reference Data'!$E$2:$E$6,0)),"")</f>
        <v/>
      </c>
      <c r="K46" s="21" t="str">
        <f>IF($G46="","",MEDIAN('Reference Data'!$H$1,'Reference Data'!$H$2,$G46+2*IF($G46='Reference Data'!$H$2,1,-1)))</f>
        <v/>
      </c>
      <c r="L46" s="17" t="str">
        <f>IFERROR(INDEX('Reference Data'!$D$2:$D$6,MATCH($M46,'Reference Data'!$E$2:$E$6,0)),"")</f>
        <v/>
      </c>
      <c r="M46" s="21" t="str">
        <f>IF($G46="","",MEDIAN('Reference Data'!$H$1,'Reference Data'!$H$2,$G46+3*IF($G46='Reference Data'!$H$2,1,-1)))</f>
        <v/>
      </c>
      <c r="N46" s="18" t="str">
        <f>IFERROR(INDEX('Reference Data'!$D$2:$D$6,MATCH($O46,'Reference Data'!$E$2:$E$6,0)),"")</f>
        <v/>
      </c>
      <c r="O46" s="22" t="str">
        <f>IF($G46="","",MEDIAN('Reference Data'!$H$1,'Reference Data'!$H$2,$G46+4*IF($G46='Reference Data'!$H$2,1,-1)))</f>
        <v/>
      </c>
      <c r="P46" s="15"/>
      <c r="Q46" s="18"/>
      <c r="R46" s="20"/>
      <c r="S46" s="39" t="str">
        <f>IF($D46="","",IF($D46='Reference Data'!$A$11,"",IFERROR(IF(VLOOKUP($D46,'Reference Data'!$A$9:$C$11,3,FALSE)="",1,VLOOKUP($D46,'Reference Data'!$A$9:$C$11,3,FALSE)),1)))</f>
        <v/>
      </c>
      <c r="T46" s="40" t="str">
        <f>IF($D46="","",IFERROR(VLOOKUP($D46,'Reference Data'!$A$9:$B$11,2,FALSE),""))</f>
        <v/>
      </c>
      <c r="U46" s="15"/>
    </row>
    <row r="47" spans="1:21" ht="22.05" customHeight="1" x14ac:dyDescent="0.4">
      <c r="A47" s="43"/>
      <c r="B47" s="46"/>
      <c r="C47" s="12"/>
      <c r="D47" s="13"/>
      <c r="E47" s="14"/>
      <c r="F47" s="15" t="str">
        <f>IFERROR(INDEX('Reference Data'!$D$2:$D$6,MATCH($G47,'Reference Data'!$E$2:$E$6,0)),"")</f>
        <v/>
      </c>
      <c r="G47" s="21" t="str">
        <f>IF($D47="Scale",'Reference Data'!$H$2,"")</f>
        <v/>
      </c>
      <c r="H47" s="17" t="str">
        <f>IFERROR(INDEX('Reference Data'!$D$2:$D$6,MATCH($I47,'Reference Data'!$E$2:$E$6,0)),"")</f>
        <v/>
      </c>
      <c r="I47" s="21" t="str">
        <f>IF($G47="","",MEDIAN('Reference Data'!$H$1,'Reference Data'!$H$2,$G47+1*IF($G47='Reference Data'!$H$2,1,-1)))</f>
        <v/>
      </c>
      <c r="J47" s="17" t="str">
        <f>IFERROR(INDEX('Reference Data'!$D$2:$D$6,MATCH($K47,'Reference Data'!$E$2:$E$6,0)),"")</f>
        <v/>
      </c>
      <c r="K47" s="21" t="str">
        <f>IF($G47="","",MEDIAN('Reference Data'!$H$1,'Reference Data'!$H$2,$G47+2*IF($G47='Reference Data'!$H$2,1,-1)))</f>
        <v/>
      </c>
      <c r="L47" s="17" t="str">
        <f>IFERROR(INDEX('Reference Data'!$D$2:$D$6,MATCH($M47,'Reference Data'!$E$2:$E$6,0)),"")</f>
        <v/>
      </c>
      <c r="M47" s="21" t="str">
        <f>IF($G47="","",MEDIAN('Reference Data'!$H$1,'Reference Data'!$H$2,$G47+3*IF($G47='Reference Data'!$H$2,1,-1)))</f>
        <v/>
      </c>
      <c r="N47" s="18" t="str">
        <f>IFERROR(INDEX('Reference Data'!$D$2:$D$6,MATCH($O47,'Reference Data'!$E$2:$E$6,0)),"")</f>
        <v/>
      </c>
      <c r="O47" s="22" t="str">
        <f>IF($G47="","",MEDIAN('Reference Data'!$H$1,'Reference Data'!$H$2,$G47+4*IF($G47='Reference Data'!$H$2,1,-1)))</f>
        <v/>
      </c>
      <c r="P47" s="15"/>
      <c r="Q47" s="18"/>
      <c r="R47" s="20"/>
      <c r="S47" s="39" t="str">
        <f>IF($D47="","",IF($D47='Reference Data'!$A$11,"",IFERROR(IF(VLOOKUP($D47,'Reference Data'!$A$9:$C$11,3,FALSE)="",1,VLOOKUP($D47,'Reference Data'!$A$9:$C$11,3,FALSE)),1)))</f>
        <v/>
      </c>
      <c r="T47" s="40" t="str">
        <f>IF($D47="","",IFERROR(VLOOKUP($D47,'Reference Data'!$A$9:$B$11,2,FALSE),""))</f>
        <v/>
      </c>
      <c r="U47" s="15"/>
    </row>
    <row r="48" spans="1:21" ht="22.05" customHeight="1" x14ac:dyDescent="0.4">
      <c r="A48" s="43"/>
      <c r="B48" s="46"/>
      <c r="C48" s="12"/>
      <c r="D48" s="13"/>
      <c r="E48" s="14"/>
      <c r="F48" s="15" t="str">
        <f>IFERROR(INDEX('Reference Data'!$D$2:$D$6,MATCH($G48,'Reference Data'!$E$2:$E$6,0)),"")</f>
        <v/>
      </c>
      <c r="G48" s="21" t="str">
        <f>IF($D48="Scale",'Reference Data'!$H$2,"")</f>
        <v/>
      </c>
      <c r="H48" s="17" t="str">
        <f>IFERROR(INDEX('Reference Data'!$D$2:$D$6,MATCH($I48,'Reference Data'!$E$2:$E$6,0)),"")</f>
        <v/>
      </c>
      <c r="I48" s="21" t="str">
        <f>IF($G48="","",MEDIAN('Reference Data'!$H$1,'Reference Data'!$H$2,$G48+1*IF($G48='Reference Data'!$H$2,1,-1)))</f>
        <v/>
      </c>
      <c r="J48" s="17" t="str">
        <f>IFERROR(INDEX('Reference Data'!$D$2:$D$6,MATCH($K48,'Reference Data'!$E$2:$E$6,0)),"")</f>
        <v/>
      </c>
      <c r="K48" s="21" t="str">
        <f>IF($G48="","",MEDIAN('Reference Data'!$H$1,'Reference Data'!$H$2,$G48+2*IF($G48='Reference Data'!$H$2,1,-1)))</f>
        <v/>
      </c>
      <c r="L48" s="17" t="str">
        <f>IFERROR(INDEX('Reference Data'!$D$2:$D$6,MATCH($M48,'Reference Data'!$E$2:$E$6,0)),"")</f>
        <v/>
      </c>
      <c r="M48" s="21" t="str">
        <f>IF($G48="","",MEDIAN('Reference Data'!$H$1,'Reference Data'!$H$2,$G48+3*IF($G48='Reference Data'!$H$2,1,-1)))</f>
        <v/>
      </c>
      <c r="N48" s="18" t="str">
        <f>IFERROR(INDEX('Reference Data'!$D$2:$D$6,MATCH($O48,'Reference Data'!$E$2:$E$6,0)),"")</f>
        <v/>
      </c>
      <c r="O48" s="22" t="str">
        <f>IF($G48="","",MEDIAN('Reference Data'!$H$1,'Reference Data'!$H$2,$G48+4*IF($G48='Reference Data'!$H$2,1,-1)))</f>
        <v/>
      </c>
      <c r="P48" s="15"/>
      <c r="Q48" s="18"/>
      <c r="R48" s="20"/>
      <c r="S48" s="39" t="str">
        <f>IF($D48="","",IF($D48='Reference Data'!$A$11,"",IFERROR(IF(VLOOKUP($D48,'Reference Data'!$A$9:$C$11,3,FALSE)="",1,VLOOKUP($D48,'Reference Data'!$A$9:$C$11,3,FALSE)),1)))</f>
        <v/>
      </c>
      <c r="T48" s="40" t="str">
        <f>IF($D48="","",IFERROR(VLOOKUP($D48,'Reference Data'!$A$9:$B$11,2,FALSE),""))</f>
        <v/>
      </c>
      <c r="U48" s="15"/>
    </row>
    <row r="49" spans="1:21" ht="22.05" customHeight="1" x14ac:dyDescent="0.4">
      <c r="A49" s="43"/>
      <c r="B49" s="46"/>
      <c r="C49" s="12"/>
      <c r="D49" s="13"/>
      <c r="E49" s="14"/>
      <c r="F49" s="15" t="str">
        <f>IFERROR(INDEX('Reference Data'!$D$2:$D$6,MATCH($G49,'Reference Data'!$E$2:$E$6,0)),"")</f>
        <v/>
      </c>
      <c r="G49" s="21" t="str">
        <f>IF($D49="Scale",'Reference Data'!$H$2,"")</f>
        <v/>
      </c>
      <c r="H49" s="17" t="str">
        <f>IFERROR(INDEX('Reference Data'!$D$2:$D$6,MATCH($I49,'Reference Data'!$E$2:$E$6,0)),"")</f>
        <v/>
      </c>
      <c r="I49" s="21" t="str">
        <f>IF($G49="","",MEDIAN('Reference Data'!$H$1,'Reference Data'!$H$2,$G49+1*IF($G49='Reference Data'!$H$2,1,-1)))</f>
        <v/>
      </c>
      <c r="J49" s="17" t="str">
        <f>IFERROR(INDEX('Reference Data'!$D$2:$D$6,MATCH($K49,'Reference Data'!$E$2:$E$6,0)),"")</f>
        <v/>
      </c>
      <c r="K49" s="21" t="str">
        <f>IF($G49="","",MEDIAN('Reference Data'!$H$1,'Reference Data'!$H$2,$G49+2*IF($G49='Reference Data'!$H$2,1,-1)))</f>
        <v/>
      </c>
      <c r="L49" s="17" t="str">
        <f>IFERROR(INDEX('Reference Data'!$D$2:$D$6,MATCH($M49,'Reference Data'!$E$2:$E$6,0)),"")</f>
        <v/>
      </c>
      <c r="M49" s="21" t="str">
        <f>IF($G49="","",MEDIAN('Reference Data'!$H$1,'Reference Data'!$H$2,$G49+3*IF($G49='Reference Data'!$H$2,1,-1)))</f>
        <v/>
      </c>
      <c r="N49" s="18" t="str">
        <f>IFERROR(INDEX('Reference Data'!$D$2:$D$6,MATCH($O49,'Reference Data'!$E$2:$E$6,0)),"")</f>
        <v/>
      </c>
      <c r="O49" s="22" t="str">
        <f>IF($G49="","",MEDIAN('Reference Data'!$H$1,'Reference Data'!$H$2,$G49+4*IF($G49='Reference Data'!$H$2,1,-1)))</f>
        <v/>
      </c>
      <c r="P49" s="15"/>
      <c r="Q49" s="18"/>
      <c r="R49" s="20"/>
      <c r="S49" s="39" t="str">
        <f>IF($D49="","",IF($D49='Reference Data'!$A$11,"",IFERROR(IF(VLOOKUP($D49,'Reference Data'!$A$9:$C$11,3,FALSE)="",1,VLOOKUP($D49,'Reference Data'!$A$9:$C$11,3,FALSE)),1)))</f>
        <v/>
      </c>
      <c r="T49" s="40" t="str">
        <f>IF($D49="","",IFERROR(VLOOKUP($D49,'Reference Data'!$A$9:$B$11,2,FALSE),""))</f>
        <v/>
      </c>
      <c r="U49" s="15"/>
    </row>
    <row r="50" spans="1:21" ht="22.05" customHeight="1" x14ac:dyDescent="0.4">
      <c r="A50" s="43"/>
      <c r="B50" s="46"/>
      <c r="C50" s="12"/>
      <c r="D50" s="13"/>
      <c r="E50" s="14"/>
      <c r="F50" s="15" t="str">
        <f>IFERROR(INDEX('Reference Data'!$D$2:$D$6,MATCH($G50,'Reference Data'!$E$2:$E$6,0)),"")</f>
        <v/>
      </c>
      <c r="G50" s="21" t="str">
        <f>IF($D50="Scale",'Reference Data'!$H$2,"")</f>
        <v/>
      </c>
      <c r="H50" s="17" t="str">
        <f>IFERROR(INDEX('Reference Data'!$D$2:$D$6,MATCH($I50,'Reference Data'!$E$2:$E$6,0)),"")</f>
        <v/>
      </c>
      <c r="I50" s="21" t="str">
        <f>IF($G50="","",MEDIAN('Reference Data'!$H$1,'Reference Data'!$H$2,$G50+1*IF($G50='Reference Data'!$H$2,1,-1)))</f>
        <v/>
      </c>
      <c r="J50" s="17" t="str">
        <f>IFERROR(INDEX('Reference Data'!$D$2:$D$6,MATCH($K50,'Reference Data'!$E$2:$E$6,0)),"")</f>
        <v/>
      </c>
      <c r="K50" s="21" t="str">
        <f>IF($G50="","",MEDIAN('Reference Data'!$H$1,'Reference Data'!$H$2,$G50+2*IF($G50='Reference Data'!$H$2,1,-1)))</f>
        <v/>
      </c>
      <c r="L50" s="17" t="str">
        <f>IFERROR(INDEX('Reference Data'!$D$2:$D$6,MATCH($M50,'Reference Data'!$E$2:$E$6,0)),"")</f>
        <v/>
      </c>
      <c r="M50" s="21" t="str">
        <f>IF($G50="","",MEDIAN('Reference Data'!$H$1,'Reference Data'!$H$2,$G50+3*IF($G50='Reference Data'!$H$2,1,-1)))</f>
        <v/>
      </c>
      <c r="N50" s="18" t="str">
        <f>IFERROR(INDEX('Reference Data'!$D$2:$D$6,MATCH($O50,'Reference Data'!$E$2:$E$6,0)),"")</f>
        <v/>
      </c>
      <c r="O50" s="22" t="str">
        <f>IF($G50="","",MEDIAN('Reference Data'!$H$1,'Reference Data'!$H$2,$G50+4*IF($G50='Reference Data'!$H$2,1,-1)))</f>
        <v/>
      </c>
      <c r="P50" s="15"/>
      <c r="Q50" s="18"/>
      <c r="R50" s="20"/>
      <c r="S50" s="39" t="str">
        <f>IF($D50="","",IF($D50='Reference Data'!$A$11,"",IFERROR(IF(VLOOKUP($D50,'Reference Data'!$A$9:$C$11,3,FALSE)="",1,VLOOKUP($D50,'Reference Data'!$A$9:$C$11,3,FALSE)),1)))</f>
        <v/>
      </c>
      <c r="T50" s="40" t="str">
        <f>IF($D50="","",IFERROR(VLOOKUP($D50,'Reference Data'!$A$9:$B$11,2,FALSE),""))</f>
        <v/>
      </c>
      <c r="U50" s="15"/>
    </row>
    <row r="51" spans="1:21" ht="22.05" customHeight="1" x14ac:dyDescent="0.4">
      <c r="A51" s="43"/>
      <c r="B51" s="46"/>
      <c r="C51" s="12"/>
      <c r="D51" s="13"/>
      <c r="E51" s="14"/>
      <c r="F51" s="15" t="str">
        <f>IFERROR(INDEX('Reference Data'!$D$2:$D$6,MATCH($G51,'Reference Data'!$E$2:$E$6,0)),"")</f>
        <v/>
      </c>
      <c r="G51" s="21" t="str">
        <f>IF($D51="Scale",'Reference Data'!$H$2,"")</f>
        <v/>
      </c>
      <c r="H51" s="17" t="str">
        <f>IFERROR(INDEX('Reference Data'!$D$2:$D$6,MATCH($I51,'Reference Data'!$E$2:$E$6,0)),"")</f>
        <v/>
      </c>
      <c r="I51" s="21" t="str">
        <f>IF($G51="","",MEDIAN('Reference Data'!$H$1,'Reference Data'!$H$2,$G51+1*IF($G51='Reference Data'!$H$2,1,-1)))</f>
        <v/>
      </c>
      <c r="J51" s="17" t="str">
        <f>IFERROR(INDEX('Reference Data'!$D$2:$D$6,MATCH($K51,'Reference Data'!$E$2:$E$6,0)),"")</f>
        <v/>
      </c>
      <c r="K51" s="21" t="str">
        <f>IF($G51="","",MEDIAN('Reference Data'!$H$1,'Reference Data'!$H$2,$G51+2*IF($G51='Reference Data'!$H$2,1,-1)))</f>
        <v/>
      </c>
      <c r="L51" s="17" t="str">
        <f>IFERROR(INDEX('Reference Data'!$D$2:$D$6,MATCH($M51,'Reference Data'!$E$2:$E$6,0)),"")</f>
        <v/>
      </c>
      <c r="M51" s="21" t="str">
        <f>IF($G51="","",MEDIAN('Reference Data'!$H$1,'Reference Data'!$H$2,$G51+3*IF($G51='Reference Data'!$H$2,1,-1)))</f>
        <v/>
      </c>
      <c r="N51" s="18" t="str">
        <f>IFERROR(INDEX('Reference Data'!$D$2:$D$6,MATCH($O51,'Reference Data'!$E$2:$E$6,0)),"")</f>
        <v/>
      </c>
      <c r="O51" s="22" t="str">
        <f>IF($G51="","",MEDIAN('Reference Data'!$H$1,'Reference Data'!$H$2,$G51+4*IF($G51='Reference Data'!$H$2,1,-1)))</f>
        <v/>
      </c>
      <c r="P51" s="15"/>
      <c r="Q51" s="18"/>
      <c r="R51" s="20"/>
      <c r="S51" s="39" t="str">
        <f>IF($D51="","",IF($D51='Reference Data'!$A$11,"",IFERROR(IF(VLOOKUP($D51,'Reference Data'!$A$9:$C$11,3,FALSE)="",1,VLOOKUP($D51,'Reference Data'!$A$9:$C$11,3,FALSE)),1)))</f>
        <v/>
      </c>
      <c r="T51" s="40" t="str">
        <f>IF($D51="","",IFERROR(VLOOKUP($D51,'Reference Data'!$A$9:$B$11,2,FALSE),""))</f>
        <v/>
      </c>
      <c r="U51" s="15"/>
    </row>
    <row r="52" spans="1:21" ht="22.05" customHeight="1" x14ac:dyDescent="0.4">
      <c r="A52" s="43"/>
      <c r="B52" s="46"/>
      <c r="C52" s="12"/>
      <c r="D52" s="13"/>
      <c r="E52" s="14"/>
      <c r="F52" s="15" t="str">
        <f>IFERROR(INDEX('Reference Data'!$D$2:$D$6,MATCH($G52,'Reference Data'!$E$2:$E$6,0)),"")</f>
        <v/>
      </c>
      <c r="G52" s="21" t="str">
        <f>IF($D52="Scale",'Reference Data'!$H$2,"")</f>
        <v/>
      </c>
      <c r="H52" s="17" t="str">
        <f>IFERROR(INDEX('Reference Data'!$D$2:$D$6,MATCH($I52,'Reference Data'!$E$2:$E$6,0)),"")</f>
        <v/>
      </c>
      <c r="I52" s="21" t="str">
        <f>IF($G52="","",MEDIAN('Reference Data'!$H$1,'Reference Data'!$H$2,$G52+1*IF($G52='Reference Data'!$H$2,1,-1)))</f>
        <v/>
      </c>
      <c r="J52" s="17" t="str">
        <f>IFERROR(INDEX('Reference Data'!$D$2:$D$6,MATCH($K52,'Reference Data'!$E$2:$E$6,0)),"")</f>
        <v/>
      </c>
      <c r="K52" s="21" t="str">
        <f>IF($G52="","",MEDIAN('Reference Data'!$H$1,'Reference Data'!$H$2,$G52+2*IF($G52='Reference Data'!$H$2,1,-1)))</f>
        <v/>
      </c>
      <c r="L52" s="17" t="str">
        <f>IFERROR(INDEX('Reference Data'!$D$2:$D$6,MATCH($M52,'Reference Data'!$E$2:$E$6,0)),"")</f>
        <v/>
      </c>
      <c r="M52" s="21" t="str">
        <f>IF($G52="","",MEDIAN('Reference Data'!$H$1,'Reference Data'!$H$2,$G52+3*IF($G52='Reference Data'!$H$2,1,-1)))</f>
        <v/>
      </c>
      <c r="N52" s="18" t="str">
        <f>IFERROR(INDEX('Reference Data'!$D$2:$D$6,MATCH($O52,'Reference Data'!$E$2:$E$6,0)),"")</f>
        <v/>
      </c>
      <c r="O52" s="22" t="str">
        <f>IF($G52="","",MEDIAN('Reference Data'!$H$1,'Reference Data'!$H$2,$G52+4*IF($G52='Reference Data'!$H$2,1,-1)))</f>
        <v/>
      </c>
      <c r="P52" s="15"/>
      <c r="Q52" s="18"/>
      <c r="R52" s="20"/>
      <c r="S52" s="39" t="str">
        <f>IF($D52="","",IF($D52='Reference Data'!$A$11,"",IFERROR(IF(VLOOKUP($D52,'Reference Data'!$A$9:$C$11,3,FALSE)="",1,VLOOKUP($D52,'Reference Data'!$A$9:$C$11,3,FALSE)),1)))</f>
        <v/>
      </c>
      <c r="T52" s="40" t="str">
        <f>IF($D52="","",IFERROR(VLOOKUP($D52,'Reference Data'!$A$9:$B$11,2,FALSE),""))</f>
        <v/>
      </c>
      <c r="U52" s="15"/>
    </row>
    <row r="53" spans="1:21" ht="22.05" customHeight="1" x14ac:dyDescent="0.4">
      <c r="A53" s="43"/>
      <c r="B53" s="46"/>
      <c r="C53" s="12"/>
      <c r="D53" s="13"/>
      <c r="E53" s="14"/>
      <c r="F53" s="15" t="str">
        <f>IFERROR(INDEX('Reference Data'!$D$2:$D$6,MATCH($G53,'Reference Data'!$E$2:$E$6,0)),"")</f>
        <v/>
      </c>
      <c r="G53" s="21" t="str">
        <f>IF($D53="Scale",'Reference Data'!$H$2,"")</f>
        <v/>
      </c>
      <c r="H53" s="17" t="str">
        <f>IFERROR(INDEX('Reference Data'!$D$2:$D$6,MATCH($I53,'Reference Data'!$E$2:$E$6,0)),"")</f>
        <v/>
      </c>
      <c r="I53" s="21" t="str">
        <f>IF($G53="","",MEDIAN('Reference Data'!$H$1,'Reference Data'!$H$2,$G53+1*IF($G53='Reference Data'!$H$2,1,-1)))</f>
        <v/>
      </c>
      <c r="J53" s="17" t="str">
        <f>IFERROR(INDEX('Reference Data'!$D$2:$D$6,MATCH($K53,'Reference Data'!$E$2:$E$6,0)),"")</f>
        <v/>
      </c>
      <c r="K53" s="21" t="str">
        <f>IF($G53="","",MEDIAN('Reference Data'!$H$1,'Reference Data'!$H$2,$G53+2*IF($G53='Reference Data'!$H$2,1,-1)))</f>
        <v/>
      </c>
      <c r="L53" s="17" t="str">
        <f>IFERROR(INDEX('Reference Data'!$D$2:$D$6,MATCH($M53,'Reference Data'!$E$2:$E$6,0)),"")</f>
        <v/>
      </c>
      <c r="M53" s="21" t="str">
        <f>IF($G53="","",MEDIAN('Reference Data'!$H$1,'Reference Data'!$H$2,$G53+3*IF($G53='Reference Data'!$H$2,1,-1)))</f>
        <v/>
      </c>
      <c r="N53" s="18" t="str">
        <f>IFERROR(INDEX('Reference Data'!$D$2:$D$6,MATCH($O53,'Reference Data'!$E$2:$E$6,0)),"")</f>
        <v/>
      </c>
      <c r="O53" s="22" t="str">
        <f>IF($G53="","",MEDIAN('Reference Data'!$H$1,'Reference Data'!$H$2,$G53+4*IF($G53='Reference Data'!$H$2,1,-1)))</f>
        <v/>
      </c>
      <c r="P53" s="15"/>
      <c r="Q53" s="18"/>
      <c r="R53" s="20"/>
      <c r="S53" s="39" t="str">
        <f>IF($D53="","",IF($D53='Reference Data'!$A$11,"",IFERROR(IF(VLOOKUP($D53,'Reference Data'!$A$9:$C$11,3,FALSE)="",1,VLOOKUP($D53,'Reference Data'!$A$9:$C$11,3,FALSE)),1)))</f>
        <v/>
      </c>
      <c r="T53" s="40" t="str">
        <f>IF($D53="","",IFERROR(VLOOKUP($D53,'Reference Data'!$A$9:$B$11,2,FALSE),""))</f>
        <v/>
      </c>
      <c r="U53" s="15"/>
    </row>
    <row r="54" spans="1:21" ht="22.05" customHeight="1" x14ac:dyDescent="0.4">
      <c r="A54" s="43"/>
      <c r="B54" s="46"/>
      <c r="C54" s="12"/>
      <c r="D54" s="13"/>
      <c r="E54" s="14"/>
      <c r="F54" s="15" t="str">
        <f>IFERROR(INDEX('Reference Data'!$D$2:$D$6,MATCH($G54,'Reference Data'!$E$2:$E$6,0)),"")</f>
        <v/>
      </c>
      <c r="G54" s="21" t="str">
        <f>IF($D54="Scale",'Reference Data'!$H$2,"")</f>
        <v/>
      </c>
      <c r="H54" s="17" t="str">
        <f>IFERROR(INDEX('Reference Data'!$D$2:$D$6,MATCH($I54,'Reference Data'!$E$2:$E$6,0)),"")</f>
        <v/>
      </c>
      <c r="I54" s="21" t="str">
        <f>IF($G54="","",MEDIAN('Reference Data'!$H$1,'Reference Data'!$H$2,$G54+1*IF($G54='Reference Data'!$H$2,1,-1)))</f>
        <v/>
      </c>
      <c r="J54" s="17" t="str">
        <f>IFERROR(INDEX('Reference Data'!$D$2:$D$6,MATCH($K54,'Reference Data'!$E$2:$E$6,0)),"")</f>
        <v/>
      </c>
      <c r="K54" s="21" t="str">
        <f>IF($G54="","",MEDIAN('Reference Data'!$H$1,'Reference Data'!$H$2,$G54+2*IF($G54='Reference Data'!$H$2,1,-1)))</f>
        <v/>
      </c>
      <c r="L54" s="17" t="str">
        <f>IFERROR(INDEX('Reference Data'!$D$2:$D$6,MATCH($M54,'Reference Data'!$E$2:$E$6,0)),"")</f>
        <v/>
      </c>
      <c r="M54" s="21" t="str">
        <f>IF($G54="","",MEDIAN('Reference Data'!$H$1,'Reference Data'!$H$2,$G54+3*IF($G54='Reference Data'!$H$2,1,-1)))</f>
        <v/>
      </c>
      <c r="N54" s="18" t="str">
        <f>IFERROR(INDEX('Reference Data'!$D$2:$D$6,MATCH($O54,'Reference Data'!$E$2:$E$6,0)),"")</f>
        <v/>
      </c>
      <c r="O54" s="22" t="str">
        <f>IF($G54="","",MEDIAN('Reference Data'!$H$1,'Reference Data'!$H$2,$G54+4*IF($G54='Reference Data'!$H$2,1,-1)))</f>
        <v/>
      </c>
      <c r="P54" s="15"/>
      <c r="Q54" s="18"/>
      <c r="R54" s="20"/>
      <c r="S54" s="39" t="str">
        <f>IF($D54="","",IF($D54='Reference Data'!$A$11,"",IFERROR(IF(VLOOKUP($D54,'Reference Data'!$A$9:$C$11,3,FALSE)="",1,VLOOKUP($D54,'Reference Data'!$A$9:$C$11,3,FALSE)),1)))</f>
        <v/>
      </c>
      <c r="T54" s="40" t="str">
        <f>IF($D54="","",IFERROR(VLOOKUP($D54,'Reference Data'!$A$9:$B$11,2,FALSE),""))</f>
        <v/>
      </c>
      <c r="U54" s="15"/>
    </row>
    <row r="55" spans="1:21" ht="22.05" customHeight="1" x14ac:dyDescent="0.4">
      <c r="A55" s="43"/>
      <c r="B55" s="46"/>
      <c r="C55" s="12"/>
      <c r="D55" s="13"/>
      <c r="E55" s="14"/>
      <c r="F55" s="15" t="str">
        <f>IFERROR(INDEX('Reference Data'!$D$2:$D$6,MATCH($G55,'Reference Data'!$E$2:$E$6,0)),"")</f>
        <v/>
      </c>
      <c r="G55" s="21" t="str">
        <f>IF($D55="Scale",'Reference Data'!$H$2,"")</f>
        <v/>
      </c>
      <c r="H55" s="17" t="str">
        <f>IFERROR(INDEX('Reference Data'!$D$2:$D$6,MATCH($I55,'Reference Data'!$E$2:$E$6,0)),"")</f>
        <v/>
      </c>
      <c r="I55" s="21" t="str">
        <f>IF($G55="","",MEDIAN('Reference Data'!$H$1,'Reference Data'!$H$2,$G55+1*IF($G55='Reference Data'!$H$2,1,-1)))</f>
        <v/>
      </c>
      <c r="J55" s="17" t="str">
        <f>IFERROR(INDEX('Reference Data'!$D$2:$D$6,MATCH($K55,'Reference Data'!$E$2:$E$6,0)),"")</f>
        <v/>
      </c>
      <c r="K55" s="21" t="str">
        <f>IF($G55="","",MEDIAN('Reference Data'!$H$1,'Reference Data'!$H$2,$G55+2*IF($G55='Reference Data'!$H$2,1,-1)))</f>
        <v/>
      </c>
      <c r="L55" s="17" t="str">
        <f>IFERROR(INDEX('Reference Data'!$D$2:$D$6,MATCH($M55,'Reference Data'!$E$2:$E$6,0)),"")</f>
        <v/>
      </c>
      <c r="M55" s="21" t="str">
        <f>IF($G55="","",MEDIAN('Reference Data'!$H$1,'Reference Data'!$H$2,$G55+3*IF($G55='Reference Data'!$H$2,1,-1)))</f>
        <v/>
      </c>
      <c r="N55" s="18" t="str">
        <f>IFERROR(INDEX('Reference Data'!$D$2:$D$6,MATCH($O55,'Reference Data'!$E$2:$E$6,0)),"")</f>
        <v/>
      </c>
      <c r="O55" s="22" t="str">
        <f>IF($G55="","",MEDIAN('Reference Data'!$H$1,'Reference Data'!$H$2,$G55+4*IF($G55='Reference Data'!$H$2,1,-1)))</f>
        <v/>
      </c>
      <c r="P55" s="15"/>
      <c r="Q55" s="18"/>
      <c r="R55" s="20"/>
      <c r="S55" s="39" t="str">
        <f>IF($D55="","",IF($D55='Reference Data'!$A$11,"",IFERROR(IF(VLOOKUP($D55,'Reference Data'!$A$9:$C$11,3,FALSE)="",1,VLOOKUP($D55,'Reference Data'!$A$9:$C$11,3,FALSE)),1)))</f>
        <v/>
      </c>
      <c r="T55" s="40" t="str">
        <f>IF($D55="","",IFERROR(VLOOKUP($D55,'Reference Data'!$A$9:$B$11,2,FALSE),""))</f>
        <v/>
      </c>
      <c r="U55" s="15"/>
    </row>
    <row r="56" spans="1:21" ht="22.05" customHeight="1" x14ac:dyDescent="0.4">
      <c r="A56" s="43"/>
      <c r="B56" s="46"/>
      <c r="C56" s="12"/>
      <c r="D56" s="13"/>
      <c r="E56" s="14"/>
      <c r="F56" s="15" t="str">
        <f>IFERROR(INDEX('Reference Data'!$D$2:$D$6,MATCH($G56,'Reference Data'!$E$2:$E$6,0)),"")</f>
        <v/>
      </c>
      <c r="G56" s="21" t="str">
        <f>IF($D56="Scale",'Reference Data'!$H$2,"")</f>
        <v/>
      </c>
      <c r="H56" s="17" t="str">
        <f>IFERROR(INDEX('Reference Data'!$D$2:$D$6,MATCH($I56,'Reference Data'!$E$2:$E$6,0)),"")</f>
        <v/>
      </c>
      <c r="I56" s="21" t="str">
        <f>IF($G56="","",MEDIAN('Reference Data'!$H$1,'Reference Data'!$H$2,$G56+1*IF($G56='Reference Data'!$H$2,1,-1)))</f>
        <v/>
      </c>
      <c r="J56" s="17" t="str">
        <f>IFERROR(INDEX('Reference Data'!$D$2:$D$6,MATCH($K56,'Reference Data'!$E$2:$E$6,0)),"")</f>
        <v/>
      </c>
      <c r="K56" s="21" t="str">
        <f>IF($G56="","",MEDIAN('Reference Data'!$H$1,'Reference Data'!$H$2,$G56+2*IF($G56='Reference Data'!$H$2,1,-1)))</f>
        <v/>
      </c>
      <c r="L56" s="17" t="str">
        <f>IFERROR(INDEX('Reference Data'!$D$2:$D$6,MATCH($M56,'Reference Data'!$E$2:$E$6,0)),"")</f>
        <v/>
      </c>
      <c r="M56" s="21" t="str">
        <f>IF($G56="","",MEDIAN('Reference Data'!$H$1,'Reference Data'!$H$2,$G56+3*IF($G56='Reference Data'!$H$2,1,-1)))</f>
        <v/>
      </c>
      <c r="N56" s="18" t="str">
        <f>IFERROR(INDEX('Reference Data'!$D$2:$D$6,MATCH($O56,'Reference Data'!$E$2:$E$6,0)),"")</f>
        <v/>
      </c>
      <c r="O56" s="22" t="str">
        <f>IF($G56="","",MEDIAN('Reference Data'!$H$1,'Reference Data'!$H$2,$G56+4*IF($G56='Reference Data'!$H$2,1,-1)))</f>
        <v/>
      </c>
      <c r="P56" s="15"/>
      <c r="Q56" s="18"/>
      <c r="R56" s="20"/>
      <c r="S56" s="39" t="str">
        <f>IF($D56="","",IF($D56='Reference Data'!$A$11,"",IFERROR(IF(VLOOKUP($D56,'Reference Data'!$A$9:$C$11,3,FALSE)="",1,VLOOKUP($D56,'Reference Data'!$A$9:$C$11,3,FALSE)),1)))</f>
        <v/>
      </c>
      <c r="T56" s="40" t="str">
        <f>IF($D56="","",IFERROR(VLOOKUP($D56,'Reference Data'!$A$9:$B$11,2,FALSE),""))</f>
        <v/>
      </c>
      <c r="U56" s="15"/>
    </row>
    <row r="57" spans="1:21" ht="22.05" customHeight="1" x14ac:dyDescent="0.4">
      <c r="A57" s="43"/>
      <c r="B57" s="46"/>
      <c r="C57" s="12"/>
      <c r="D57" s="13"/>
      <c r="E57" s="14"/>
      <c r="F57" s="15" t="str">
        <f>IFERROR(INDEX('Reference Data'!$D$2:$D$6,MATCH($G57,'Reference Data'!$E$2:$E$6,0)),"")</f>
        <v/>
      </c>
      <c r="G57" s="21" t="str">
        <f>IF($D57="Scale",'Reference Data'!$H$2,"")</f>
        <v/>
      </c>
      <c r="H57" s="17" t="str">
        <f>IFERROR(INDEX('Reference Data'!$D$2:$D$6,MATCH($I57,'Reference Data'!$E$2:$E$6,0)),"")</f>
        <v/>
      </c>
      <c r="I57" s="21" t="str">
        <f>IF($G57="","",MEDIAN('Reference Data'!$H$1,'Reference Data'!$H$2,$G57+1*IF($G57='Reference Data'!$H$2,1,-1)))</f>
        <v/>
      </c>
      <c r="J57" s="17" t="str">
        <f>IFERROR(INDEX('Reference Data'!$D$2:$D$6,MATCH($K57,'Reference Data'!$E$2:$E$6,0)),"")</f>
        <v/>
      </c>
      <c r="K57" s="21" t="str">
        <f>IF($G57="","",MEDIAN('Reference Data'!$H$1,'Reference Data'!$H$2,$G57+2*IF($G57='Reference Data'!$H$2,1,-1)))</f>
        <v/>
      </c>
      <c r="L57" s="17" t="str">
        <f>IFERROR(INDEX('Reference Data'!$D$2:$D$6,MATCH($M57,'Reference Data'!$E$2:$E$6,0)),"")</f>
        <v/>
      </c>
      <c r="M57" s="21" t="str">
        <f>IF($G57="","",MEDIAN('Reference Data'!$H$1,'Reference Data'!$H$2,$G57+3*IF($G57='Reference Data'!$H$2,1,-1)))</f>
        <v/>
      </c>
      <c r="N57" s="18" t="str">
        <f>IFERROR(INDEX('Reference Data'!$D$2:$D$6,MATCH($O57,'Reference Data'!$E$2:$E$6,0)),"")</f>
        <v/>
      </c>
      <c r="O57" s="22" t="str">
        <f>IF($G57="","",MEDIAN('Reference Data'!$H$1,'Reference Data'!$H$2,$G57+4*IF($G57='Reference Data'!$H$2,1,-1)))</f>
        <v/>
      </c>
      <c r="P57" s="15"/>
      <c r="Q57" s="18"/>
      <c r="R57" s="20"/>
      <c r="S57" s="39" t="str">
        <f>IF($D57="","",IF($D57='Reference Data'!$A$11,"",IFERROR(IF(VLOOKUP($D57,'Reference Data'!$A$9:$C$11,3,FALSE)="",1,VLOOKUP($D57,'Reference Data'!$A$9:$C$11,3,FALSE)),1)))</f>
        <v/>
      </c>
      <c r="T57" s="40" t="str">
        <f>IF($D57="","",IFERROR(VLOOKUP($D57,'Reference Data'!$A$9:$B$11,2,FALSE),""))</f>
        <v/>
      </c>
      <c r="U57" s="15"/>
    </row>
    <row r="58" spans="1:21" ht="22.05" customHeight="1" x14ac:dyDescent="0.4">
      <c r="A58" s="43"/>
      <c r="B58" s="46"/>
      <c r="C58" s="12"/>
      <c r="D58" s="13"/>
      <c r="E58" s="14"/>
      <c r="F58" s="15" t="str">
        <f>IFERROR(INDEX('Reference Data'!$D$2:$D$6,MATCH($G58,'Reference Data'!$E$2:$E$6,0)),"")</f>
        <v/>
      </c>
      <c r="G58" s="21" t="str">
        <f>IF($D58="Scale",'Reference Data'!$H$2,"")</f>
        <v/>
      </c>
      <c r="H58" s="17" t="str">
        <f>IFERROR(INDEX('Reference Data'!$D$2:$D$6,MATCH($I58,'Reference Data'!$E$2:$E$6,0)),"")</f>
        <v/>
      </c>
      <c r="I58" s="21" t="str">
        <f>IF($G58="","",MEDIAN('Reference Data'!$H$1,'Reference Data'!$H$2,$G58+1*IF($G58='Reference Data'!$H$2,1,-1)))</f>
        <v/>
      </c>
      <c r="J58" s="17" t="str">
        <f>IFERROR(INDEX('Reference Data'!$D$2:$D$6,MATCH($K58,'Reference Data'!$E$2:$E$6,0)),"")</f>
        <v/>
      </c>
      <c r="K58" s="21" t="str">
        <f>IF($G58="","",MEDIAN('Reference Data'!$H$1,'Reference Data'!$H$2,$G58+2*IF($G58='Reference Data'!$H$2,1,-1)))</f>
        <v/>
      </c>
      <c r="L58" s="17" t="str">
        <f>IFERROR(INDEX('Reference Data'!$D$2:$D$6,MATCH($M58,'Reference Data'!$E$2:$E$6,0)),"")</f>
        <v/>
      </c>
      <c r="M58" s="21" t="str">
        <f>IF($G58="","",MEDIAN('Reference Data'!$H$1,'Reference Data'!$H$2,$G58+3*IF($G58='Reference Data'!$H$2,1,-1)))</f>
        <v/>
      </c>
      <c r="N58" s="18" t="str">
        <f>IFERROR(INDEX('Reference Data'!$D$2:$D$6,MATCH($O58,'Reference Data'!$E$2:$E$6,0)),"")</f>
        <v/>
      </c>
      <c r="O58" s="22" t="str">
        <f>IF($G58="","",MEDIAN('Reference Data'!$H$1,'Reference Data'!$H$2,$G58+4*IF($G58='Reference Data'!$H$2,1,-1)))</f>
        <v/>
      </c>
      <c r="P58" s="15"/>
      <c r="Q58" s="18"/>
      <c r="R58" s="20"/>
      <c r="S58" s="39" t="str">
        <f>IF($D58="","",IF($D58='Reference Data'!$A$11,"",IFERROR(IF(VLOOKUP($D58,'Reference Data'!$A$9:$C$11,3,FALSE)="",1,VLOOKUP($D58,'Reference Data'!$A$9:$C$11,3,FALSE)),1)))</f>
        <v/>
      </c>
      <c r="T58" s="40" t="str">
        <f>IF($D58="","",IFERROR(VLOOKUP($D58,'Reference Data'!$A$9:$B$11,2,FALSE),""))</f>
        <v/>
      </c>
      <c r="U58" s="15"/>
    </row>
    <row r="59" spans="1:21" ht="22.05" customHeight="1" x14ac:dyDescent="0.4">
      <c r="A59" s="43"/>
      <c r="B59" s="46"/>
      <c r="C59" s="12"/>
      <c r="D59" s="13"/>
      <c r="E59" s="14"/>
      <c r="F59" s="15" t="str">
        <f>IFERROR(INDEX('Reference Data'!$D$2:$D$6,MATCH($G59,'Reference Data'!$E$2:$E$6,0)),"")</f>
        <v/>
      </c>
      <c r="G59" s="21" t="str">
        <f>IF($D59="Scale",'Reference Data'!$H$2,"")</f>
        <v/>
      </c>
      <c r="H59" s="17" t="str">
        <f>IFERROR(INDEX('Reference Data'!$D$2:$D$6,MATCH($I59,'Reference Data'!$E$2:$E$6,0)),"")</f>
        <v/>
      </c>
      <c r="I59" s="21" t="str">
        <f>IF($G59="","",MEDIAN('Reference Data'!$H$1,'Reference Data'!$H$2,$G59+1*IF($G59='Reference Data'!$H$2,1,-1)))</f>
        <v/>
      </c>
      <c r="J59" s="17" t="str">
        <f>IFERROR(INDEX('Reference Data'!$D$2:$D$6,MATCH($K59,'Reference Data'!$E$2:$E$6,0)),"")</f>
        <v/>
      </c>
      <c r="K59" s="21" t="str">
        <f>IF($G59="","",MEDIAN('Reference Data'!$H$1,'Reference Data'!$H$2,$G59+2*IF($G59='Reference Data'!$H$2,1,-1)))</f>
        <v/>
      </c>
      <c r="L59" s="17" t="str">
        <f>IFERROR(INDEX('Reference Data'!$D$2:$D$6,MATCH($M59,'Reference Data'!$E$2:$E$6,0)),"")</f>
        <v/>
      </c>
      <c r="M59" s="21" t="str">
        <f>IF($G59="","",MEDIAN('Reference Data'!$H$1,'Reference Data'!$H$2,$G59+3*IF($G59='Reference Data'!$H$2,1,-1)))</f>
        <v/>
      </c>
      <c r="N59" s="18" t="str">
        <f>IFERROR(INDEX('Reference Data'!$D$2:$D$6,MATCH($O59,'Reference Data'!$E$2:$E$6,0)),"")</f>
        <v/>
      </c>
      <c r="O59" s="22" t="str">
        <f>IF($G59="","",MEDIAN('Reference Data'!$H$1,'Reference Data'!$H$2,$G59+4*IF($G59='Reference Data'!$H$2,1,-1)))</f>
        <v/>
      </c>
      <c r="P59" s="15"/>
      <c r="Q59" s="18"/>
      <c r="R59" s="20"/>
      <c r="S59" s="39" t="str">
        <f>IF($D59="","",IF($D59='Reference Data'!$A$11,"",IFERROR(IF(VLOOKUP($D59,'Reference Data'!$A$9:$C$11,3,FALSE)="",1,VLOOKUP($D59,'Reference Data'!$A$9:$C$11,3,FALSE)),1)))</f>
        <v/>
      </c>
      <c r="T59" s="40" t="str">
        <f>IF($D59="","",IFERROR(VLOOKUP($D59,'Reference Data'!$A$9:$B$11,2,FALSE),""))</f>
        <v/>
      </c>
      <c r="U59" s="15"/>
    </row>
    <row r="60" spans="1:21" ht="22.05" customHeight="1" x14ac:dyDescent="0.4">
      <c r="A60" s="43"/>
      <c r="B60" s="46"/>
      <c r="C60" s="12"/>
      <c r="D60" s="13"/>
      <c r="E60" s="14"/>
      <c r="F60" s="15" t="str">
        <f>IFERROR(INDEX('Reference Data'!$D$2:$D$6,MATCH($G60,'Reference Data'!$E$2:$E$6,0)),"")</f>
        <v/>
      </c>
      <c r="G60" s="21" t="str">
        <f>IF($D60="Scale",'Reference Data'!$H$2,"")</f>
        <v/>
      </c>
      <c r="H60" s="17" t="str">
        <f>IFERROR(INDEX('Reference Data'!$D$2:$D$6,MATCH($I60,'Reference Data'!$E$2:$E$6,0)),"")</f>
        <v/>
      </c>
      <c r="I60" s="21" t="str">
        <f>IF($G60="","",MEDIAN('Reference Data'!$H$1,'Reference Data'!$H$2,$G60+1*IF($G60='Reference Data'!$H$2,1,-1)))</f>
        <v/>
      </c>
      <c r="J60" s="17" t="str">
        <f>IFERROR(INDEX('Reference Data'!$D$2:$D$6,MATCH($K60,'Reference Data'!$E$2:$E$6,0)),"")</f>
        <v/>
      </c>
      <c r="K60" s="21" t="str">
        <f>IF($G60="","",MEDIAN('Reference Data'!$H$1,'Reference Data'!$H$2,$G60+2*IF($G60='Reference Data'!$H$2,1,-1)))</f>
        <v/>
      </c>
      <c r="L60" s="17" t="str">
        <f>IFERROR(INDEX('Reference Data'!$D$2:$D$6,MATCH($M60,'Reference Data'!$E$2:$E$6,0)),"")</f>
        <v/>
      </c>
      <c r="M60" s="21" t="str">
        <f>IF($G60="","",MEDIAN('Reference Data'!$H$1,'Reference Data'!$H$2,$G60+3*IF($G60='Reference Data'!$H$2,1,-1)))</f>
        <v/>
      </c>
      <c r="N60" s="18" t="str">
        <f>IFERROR(INDEX('Reference Data'!$D$2:$D$6,MATCH($O60,'Reference Data'!$E$2:$E$6,0)),"")</f>
        <v/>
      </c>
      <c r="O60" s="22" t="str">
        <f>IF($G60="","",MEDIAN('Reference Data'!$H$1,'Reference Data'!$H$2,$G60+4*IF($G60='Reference Data'!$H$2,1,-1)))</f>
        <v/>
      </c>
      <c r="P60" s="15"/>
      <c r="Q60" s="18"/>
      <c r="R60" s="20"/>
      <c r="S60" s="39" t="str">
        <f>IF($D60="","",IF($D60='Reference Data'!$A$11,"",IFERROR(IF(VLOOKUP($D60,'Reference Data'!$A$9:$C$11,3,FALSE)="",1,VLOOKUP($D60,'Reference Data'!$A$9:$C$11,3,FALSE)),1)))</f>
        <v/>
      </c>
      <c r="T60" s="40" t="str">
        <f>IF($D60="","",IFERROR(VLOOKUP($D60,'Reference Data'!$A$9:$B$11,2,FALSE),""))</f>
        <v/>
      </c>
      <c r="U60" s="15"/>
    </row>
    <row r="61" spans="1:21" ht="22.05" customHeight="1" x14ac:dyDescent="0.4">
      <c r="A61" s="43"/>
      <c r="B61" s="46"/>
      <c r="C61" s="12"/>
      <c r="D61" s="13"/>
      <c r="E61" s="14"/>
      <c r="F61" s="15" t="str">
        <f>IFERROR(INDEX('Reference Data'!$D$2:$D$6,MATCH($G61,'Reference Data'!$E$2:$E$6,0)),"")</f>
        <v/>
      </c>
      <c r="G61" s="21" t="str">
        <f>IF($D61="Scale",'Reference Data'!$H$2,"")</f>
        <v/>
      </c>
      <c r="H61" s="17" t="str">
        <f>IFERROR(INDEX('Reference Data'!$D$2:$D$6,MATCH($I61,'Reference Data'!$E$2:$E$6,0)),"")</f>
        <v/>
      </c>
      <c r="I61" s="21" t="str">
        <f>IF($G61="","",MEDIAN('Reference Data'!$H$1,'Reference Data'!$H$2,$G61+1*IF($G61='Reference Data'!$H$2,1,-1)))</f>
        <v/>
      </c>
      <c r="J61" s="17" t="str">
        <f>IFERROR(INDEX('Reference Data'!$D$2:$D$6,MATCH($K61,'Reference Data'!$E$2:$E$6,0)),"")</f>
        <v/>
      </c>
      <c r="K61" s="21" t="str">
        <f>IF($G61="","",MEDIAN('Reference Data'!$H$1,'Reference Data'!$H$2,$G61+2*IF($G61='Reference Data'!$H$2,1,-1)))</f>
        <v/>
      </c>
      <c r="L61" s="17" t="str">
        <f>IFERROR(INDEX('Reference Data'!$D$2:$D$6,MATCH($M61,'Reference Data'!$E$2:$E$6,0)),"")</f>
        <v/>
      </c>
      <c r="M61" s="21" t="str">
        <f>IF($G61="","",MEDIAN('Reference Data'!$H$1,'Reference Data'!$H$2,$G61+3*IF($G61='Reference Data'!$H$2,1,-1)))</f>
        <v/>
      </c>
      <c r="N61" s="18" t="str">
        <f>IFERROR(INDEX('Reference Data'!$D$2:$D$6,MATCH($O61,'Reference Data'!$E$2:$E$6,0)),"")</f>
        <v/>
      </c>
      <c r="O61" s="22" t="str">
        <f>IF($G61="","",MEDIAN('Reference Data'!$H$1,'Reference Data'!$H$2,$G61+4*IF($G61='Reference Data'!$H$2,1,-1)))</f>
        <v/>
      </c>
      <c r="P61" s="15"/>
      <c r="Q61" s="18"/>
      <c r="R61" s="20"/>
      <c r="S61" s="39" t="str">
        <f>IF($D61="","",IF($D61='Reference Data'!$A$11,"",IFERROR(IF(VLOOKUP($D61,'Reference Data'!$A$9:$C$11,3,FALSE)="",1,VLOOKUP($D61,'Reference Data'!$A$9:$C$11,3,FALSE)),1)))</f>
        <v/>
      </c>
      <c r="T61" s="40" t="str">
        <f>IF($D61="","",IFERROR(VLOOKUP($D61,'Reference Data'!$A$9:$B$11,2,FALSE),""))</f>
        <v/>
      </c>
      <c r="U61" s="15"/>
    </row>
    <row r="62" spans="1:21" ht="22.05" customHeight="1" x14ac:dyDescent="0.4">
      <c r="A62" s="43"/>
      <c r="B62" s="46"/>
      <c r="C62" s="12"/>
      <c r="D62" s="13"/>
      <c r="E62" s="14"/>
      <c r="F62" s="15" t="str">
        <f>IFERROR(INDEX('Reference Data'!$D$2:$D$6,MATCH($G62,'Reference Data'!$E$2:$E$6,0)),"")</f>
        <v/>
      </c>
      <c r="G62" s="21" t="str">
        <f>IF($D62="Scale",'Reference Data'!$H$2,"")</f>
        <v/>
      </c>
      <c r="H62" s="17" t="str">
        <f>IFERROR(INDEX('Reference Data'!$D$2:$D$6,MATCH($I62,'Reference Data'!$E$2:$E$6,0)),"")</f>
        <v/>
      </c>
      <c r="I62" s="21" t="str">
        <f>IF($G62="","",MEDIAN('Reference Data'!$H$1,'Reference Data'!$H$2,$G62+1*IF($G62='Reference Data'!$H$2,1,-1)))</f>
        <v/>
      </c>
      <c r="J62" s="17" t="str">
        <f>IFERROR(INDEX('Reference Data'!$D$2:$D$6,MATCH($K62,'Reference Data'!$E$2:$E$6,0)),"")</f>
        <v/>
      </c>
      <c r="K62" s="21" t="str">
        <f>IF($G62="","",MEDIAN('Reference Data'!$H$1,'Reference Data'!$H$2,$G62+2*IF($G62='Reference Data'!$H$2,1,-1)))</f>
        <v/>
      </c>
      <c r="L62" s="17" t="str">
        <f>IFERROR(INDEX('Reference Data'!$D$2:$D$6,MATCH($M62,'Reference Data'!$E$2:$E$6,0)),"")</f>
        <v/>
      </c>
      <c r="M62" s="21" t="str">
        <f>IF($G62="","",MEDIAN('Reference Data'!$H$1,'Reference Data'!$H$2,$G62+3*IF($G62='Reference Data'!$H$2,1,-1)))</f>
        <v/>
      </c>
      <c r="N62" s="18" t="str">
        <f>IFERROR(INDEX('Reference Data'!$D$2:$D$6,MATCH($O62,'Reference Data'!$E$2:$E$6,0)),"")</f>
        <v/>
      </c>
      <c r="O62" s="22" t="str">
        <f>IF($G62="","",MEDIAN('Reference Data'!$H$1,'Reference Data'!$H$2,$G62+4*IF($G62='Reference Data'!$H$2,1,-1)))</f>
        <v/>
      </c>
      <c r="P62" s="15"/>
      <c r="Q62" s="18"/>
      <c r="R62" s="20"/>
      <c r="S62" s="39" t="str">
        <f>IF($D62="","",IF($D62='Reference Data'!$A$11,"",IFERROR(IF(VLOOKUP($D62,'Reference Data'!$A$9:$C$11,3,FALSE)="",1,VLOOKUP($D62,'Reference Data'!$A$9:$C$11,3,FALSE)),1)))</f>
        <v/>
      </c>
      <c r="T62" s="40" t="str">
        <f>IF($D62="","",IFERROR(VLOOKUP($D62,'Reference Data'!$A$9:$B$11,2,FALSE),""))</f>
        <v/>
      </c>
      <c r="U62" s="15"/>
    </row>
    <row r="63" spans="1:21" ht="22.05" customHeight="1" x14ac:dyDescent="0.4">
      <c r="A63" s="43"/>
      <c r="B63" s="46"/>
      <c r="C63" s="12"/>
      <c r="D63" s="13"/>
      <c r="E63" s="14"/>
      <c r="F63" s="15" t="str">
        <f>IFERROR(INDEX('Reference Data'!$D$2:$D$6,MATCH($G63,'Reference Data'!$E$2:$E$6,0)),"")</f>
        <v/>
      </c>
      <c r="G63" s="21" t="str">
        <f>IF($D63="Scale",'Reference Data'!$H$2,"")</f>
        <v/>
      </c>
      <c r="H63" s="17" t="str">
        <f>IFERROR(INDEX('Reference Data'!$D$2:$D$6,MATCH($I63,'Reference Data'!$E$2:$E$6,0)),"")</f>
        <v/>
      </c>
      <c r="I63" s="21" t="str">
        <f>IF($G63="","",MEDIAN('Reference Data'!$H$1,'Reference Data'!$H$2,$G63+1*IF($G63='Reference Data'!$H$2,1,-1)))</f>
        <v/>
      </c>
      <c r="J63" s="17" t="str">
        <f>IFERROR(INDEX('Reference Data'!$D$2:$D$6,MATCH($K63,'Reference Data'!$E$2:$E$6,0)),"")</f>
        <v/>
      </c>
      <c r="K63" s="21" t="str">
        <f>IF($G63="","",MEDIAN('Reference Data'!$H$1,'Reference Data'!$H$2,$G63+2*IF($G63='Reference Data'!$H$2,1,-1)))</f>
        <v/>
      </c>
      <c r="L63" s="17" t="str">
        <f>IFERROR(INDEX('Reference Data'!$D$2:$D$6,MATCH($M63,'Reference Data'!$E$2:$E$6,0)),"")</f>
        <v/>
      </c>
      <c r="M63" s="21" t="str">
        <f>IF($G63="","",MEDIAN('Reference Data'!$H$1,'Reference Data'!$H$2,$G63+3*IF($G63='Reference Data'!$H$2,1,-1)))</f>
        <v/>
      </c>
      <c r="N63" s="18" t="str">
        <f>IFERROR(INDEX('Reference Data'!$D$2:$D$6,MATCH($O63,'Reference Data'!$E$2:$E$6,0)),"")</f>
        <v/>
      </c>
      <c r="O63" s="22" t="str">
        <f>IF($G63="","",MEDIAN('Reference Data'!$H$1,'Reference Data'!$H$2,$G63+4*IF($G63='Reference Data'!$H$2,1,-1)))</f>
        <v/>
      </c>
      <c r="P63" s="15"/>
      <c r="Q63" s="18"/>
      <c r="R63" s="20"/>
      <c r="S63" s="39" t="str">
        <f>IF($D63="","",IF($D63='Reference Data'!$A$11,"",IFERROR(IF(VLOOKUP($D63,'Reference Data'!$A$9:$C$11,3,FALSE)="",1,VLOOKUP($D63,'Reference Data'!$A$9:$C$11,3,FALSE)),1)))</f>
        <v/>
      </c>
      <c r="T63" s="40" t="str">
        <f>IF($D63="","",IFERROR(VLOOKUP($D63,'Reference Data'!$A$9:$B$11,2,FALSE),""))</f>
        <v/>
      </c>
      <c r="U63" s="15"/>
    </row>
    <row r="64" spans="1:21" ht="22.05" customHeight="1" x14ac:dyDescent="0.4">
      <c r="A64" s="43"/>
      <c r="B64" s="46"/>
      <c r="C64" s="12"/>
      <c r="D64" s="13"/>
      <c r="E64" s="14"/>
      <c r="F64" s="15" t="str">
        <f>IFERROR(INDEX('Reference Data'!$D$2:$D$6,MATCH($G64,'Reference Data'!$E$2:$E$6,0)),"")</f>
        <v/>
      </c>
      <c r="G64" s="21" t="str">
        <f>IF($D64="Scale",'Reference Data'!$H$2,"")</f>
        <v/>
      </c>
      <c r="H64" s="17" t="str">
        <f>IFERROR(INDEX('Reference Data'!$D$2:$D$6,MATCH($I64,'Reference Data'!$E$2:$E$6,0)),"")</f>
        <v/>
      </c>
      <c r="I64" s="21" t="str">
        <f>IF($G64="","",MEDIAN('Reference Data'!$H$1,'Reference Data'!$H$2,$G64+1*IF($G64='Reference Data'!$H$2,1,-1)))</f>
        <v/>
      </c>
      <c r="J64" s="17" t="str">
        <f>IFERROR(INDEX('Reference Data'!$D$2:$D$6,MATCH($K64,'Reference Data'!$E$2:$E$6,0)),"")</f>
        <v/>
      </c>
      <c r="K64" s="21" t="str">
        <f>IF($G64="","",MEDIAN('Reference Data'!$H$1,'Reference Data'!$H$2,$G64+2*IF($G64='Reference Data'!$H$2,1,-1)))</f>
        <v/>
      </c>
      <c r="L64" s="17" t="str">
        <f>IFERROR(INDEX('Reference Data'!$D$2:$D$6,MATCH($M64,'Reference Data'!$E$2:$E$6,0)),"")</f>
        <v/>
      </c>
      <c r="M64" s="21" t="str">
        <f>IF($G64="","",MEDIAN('Reference Data'!$H$1,'Reference Data'!$H$2,$G64+3*IF($G64='Reference Data'!$H$2,1,-1)))</f>
        <v/>
      </c>
      <c r="N64" s="18" t="str">
        <f>IFERROR(INDEX('Reference Data'!$D$2:$D$6,MATCH($O64,'Reference Data'!$E$2:$E$6,0)),"")</f>
        <v/>
      </c>
      <c r="O64" s="22" t="str">
        <f>IF($G64="","",MEDIAN('Reference Data'!$H$1,'Reference Data'!$H$2,$G64+4*IF($G64='Reference Data'!$H$2,1,-1)))</f>
        <v/>
      </c>
      <c r="P64" s="15"/>
      <c r="Q64" s="18"/>
      <c r="R64" s="20"/>
      <c r="S64" s="39" t="str">
        <f>IF($D64="","",IF($D64='Reference Data'!$A$11,"",IFERROR(IF(VLOOKUP($D64,'Reference Data'!$A$9:$C$11,3,FALSE)="",1,VLOOKUP($D64,'Reference Data'!$A$9:$C$11,3,FALSE)),1)))</f>
        <v/>
      </c>
      <c r="T64" s="40" t="str">
        <f>IF($D64="","",IFERROR(VLOOKUP($D64,'Reference Data'!$A$9:$B$11,2,FALSE),""))</f>
        <v/>
      </c>
      <c r="U64" s="15"/>
    </row>
    <row r="65" spans="1:21" ht="22.05" customHeight="1" x14ac:dyDescent="0.4">
      <c r="A65" s="43"/>
      <c r="B65" s="46"/>
      <c r="C65" s="12"/>
      <c r="D65" s="13"/>
      <c r="E65" s="14"/>
      <c r="F65" s="15" t="str">
        <f>IFERROR(INDEX('Reference Data'!$D$2:$D$6,MATCH($G65,'Reference Data'!$E$2:$E$6,0)),"")</f>
        <v/>
      </c>
      <c r="G65" s="21" t="str">
        <f>IF($D65="Scale",'Reference Data'!$H$2,"")</f>
        <v/>
      </c>
      <c r="H65" s="17" t="str">
        <f>IFERROR(INDEX('Reference Data'!$D$2:$D$6,MATCH($I65,'Reference Data'!$E$2:$E$6,0)),"")</f>
        <v/>
      </c>
      <c r="I65" s="21" t="str">
        <f>IF($G65="","",MEDIAN('Reference Data'!$H$1,'Reference Data'!$H$2,$G65+1*IF($G65='Reference Data'!$H$2,1,-1)))</f>
        <v/>
      </c>
      <c r="J65" s="17" t="str">
        <f>IFERROR(INDEX('Reference Data'!$D$2:$D$6,MATCH($K65,'Reference Data'!$E$2:$E$6,0)),"")</f>
        <v/>
      </c>
      <c r="K65" s="21" t="str">
        <f>IF($G65="","",MEDIAN('Reference Data'!$H$1,'Reference Data'!$H$2,$G65+2*IF($G65='Reference Data'!$H$2,1,-1)))</f>
        <v/>
      </c>
      <c r="L65" s="17" t="str">
        <f>IFERROR(INDEX('Reference Data'!$D$2:$D$6,MATCH($M65,'Reference Data'!$E$2:$E$6,0)),"")</f>
        <v/>
      </c>
      <c r="M65" s="21" t="str">
        <f>IF($G65="","",MEDIAN('Reference Data'!$H$1,'Reference Data'!$H$2,$G65+3*IF($G65='Reference Data'!$H$2,1,-1)))</f>
        <v/>
      </c>
      <c r="N65" s="18" t="str">
        <f>IFERROR(INDEX('Reference Data'!$D$2:$D$6,MATCH($O65,'Reference Data'!$E$2:$E$6,0)),"")</f>
        <v/>
      </c>
      <c r="O65" s="22" t="str">
        <f>IF($G65="","",MEDIAN('Reference Data'!$H$1,'Reference Data'!$H$2,$G65+4*IF($G65='Reference Data'!$H$2,1,-1)))</f>
        <v/>
      </c>
      <c r="P65" s="15"/>
      <c r="Q65" s="18"/>
      <c r="R65" s="20"/>
      <c r="S65" s="39" t="str">
        <f>IF($D65="","",IF($D65='Reference Data'!$A$11,"",IFERROR(IF(VLOOKUP($D65,'Reference Data'!$A$9:$C$11,3,FALSE)="",1,VLOOKUP($D65,'Reference Data'!$A$9:$C$11,3,FALSE)),1)))</f>
        <v/>
      </c>
      <c r="T65" s="40" t="str">
        <f>IF($D65="","",IFERROR(VLOOKUP($D65,'Reference Data'!$A$9:$B$11,2,FALSE),""))</f>
        <v/>
      </c>
      <c r="U65" s="15"/>
    </row>
    <row r="66" spans="1:21" ht="22.05" customHeight="1" x14ac:dyDescent="0.4">
      <c r="A66" s="43"/>
      <c r="B66" s="46"/>
      <c r="C66" s="12"/>
      <c r="D66" s="13"/>
      <c r="E66" s="14"/>
      <c r="F66" s="15" t="str">
        <f>IFERROR(INDEX('Reference Data'!$D$2:$D$6,MATCH($G66,'Reference Data'!$E$2:$E$6,0)),"")</f>
        <v/>
      </c>
      <c r="G66" s="21" t="str">
        <f>IF($D66="Scale",'Reference Data'!$H$2,"")</f>
        <v/>
      </c>
      <c r="H66" s="17" t="str">
        <f>IFERROR(INDEX('Reference Data'!$D$2:$D$6,MATCH($I66,'Reference Data'!$E$2:$E$6,0)),"")</f>
        <v/>
      </c>
      <c r="I66" s="21" t="str">
        <f>IF($G66="","",MEDIAN('Reference Data'!$H$1,'Reference Data'!$H$2,$G66+1*IF($G66='Reference Data'!$H$2,1,-1)))</f>
        <v/>
      </c>
      <c r="J66" s="17" t="str">
        <f>IFERROR(INDEX('Reference Data'!$D$2:$D$6,MATCH($K66,'Reference Data'!$E$2:$E$6,0)),"")</f>
        <v/>
      </c>
      <c r="K66" s="21" t="str">
        <f>IF($G66="","",MEDIAN('Reference Data'!$H$1,'Reference Data'!$H$2,$G66+2*IF($G66='Reference Data'!$H$2,1,-1)))</f>
        <v/>
      </c>
      <c r="L66" s="17" t="str">
        <f>IFERROR(INDEX('Reference Data'!$D$2:$D$6,MATCH($M66,'Reference Data'!$E$2:$E$6,0)),"")</f>
        <v/>
      </c>
      <c r="M66" s="21" t="str">
        <f>IF($G66="","",MEDIAN('Reference Data'!$H$1,'Reference Data'!$H$2,$G66+3*IF($G66='Reference Data'!$H$2,1,-1)))</f>
        <v/>
      </c>
      <c r="N66" s="18" t="str">
        <f>IFERROR(INDEX('Reference Data'!$D$2:$D$6,MATCH($O66,'Reference Data'!$E$2:$E$6,0)),"")</f>
        <v/>
      </c>
      <c r="O66" s="22" t="str">
        <f>IF($G66="","",MEDIAN('Reference Data'!$H$1,'Reference Data'!$H$2,$G66+4*IF($G66='Reference Data'!$H$2,1,-1)))</f>
        <v/>
      </c>
      <c r="P66" s="15"/>
      <c r="Q66" s="18"/>
      <c r="R66" s="20"/>
      <c r="S66" s="39" t="str">
        <f>IF($D66="","",IF($D66='Reference Data'!$A$11,"",IFERROR(IF(VLOOKUP($D66,'Reference Data'!$A$9:$C$11,3,FALSE)="",1,VLOOKUP($D66,'Reference Data'!$A$9:$C$11,3,FALSE)),1)))</f>
        <v/>
      </c>
      <c r="T66" s="40" t="str">
        <f>IF($D66="","",IFERROR(VLOOKUP($D66,'Reference Data'!$A$9:$B$11,2,FALSE),""))</f>
        <v/>
      </c>
      <c r="U66" s="15"/>
    </row>
    <row r="67" spans="1:21" ht="22.05" customHeight="1" x14ac:dyDescent="0.4">
      <c r="A67" s="43"/>
      <c r="B67" s="46"/>
      <c r="C67" s="12"/>
      <c r="D67" s="13"/>
      <c r="E67" s="14"/>
      <c r="F67" s="15" t="str">
        <f>IFERROR(INDEX('Reference Data'!$D$2:$D$6,MATCH($G67,'Reference Data'!$E$2:$E$6,0)),"")</f>
        <v/>
      </c>
      <c r="G67" s="21" t="str">
        <f>IF($D67="Scale",'Reference Data'!$H$2,"")</f>
        <v/>
      </c>
      <c r="H67" s="17" t="str">
        <f>IFERROR(INDEX('Reference Data'!$D$2:$D$6,MATCH($I67,'Reference Data'!$E$2:$E$6,0)),"")</f>
        <v/>
      </c>
      <c r="I67" s="21" t="str">
        <f>IF($G67="","",MEDIAN('Reference Data'!$H$1,'Reference Data'!$H$2,$G67+1*IF($G67='Reference Data'!$H$2,1,-1)))</f>
        <v/>
      </c>
      <c r="J67" s="17" t="str">
        <f>IFERROR(INDEX('Reference Data'!$D$2:$D$6,MATCH($K67,'Reference Data'!$E$2:$E$6,0)),"")</f>
        <v/>
      </c>
      <c r="K67" s="21" t="str">
        <f>IF($G67="","",MEDIAN('Reference Data'!$H$1,'Reference Data'!$H$2,$G67+2*IF($G67='Reference Data'!$H$2,1,-1)))</f>
        <v/>
      </c>
      <c r="L67" s="17" t="str">
        <f>IFERROR(INDEX('Reference Data'!$D$2:$D$6,MATCH($M67,'Reference Data'!$E$2:$E$6,0)),"")</f>
        <v/>
      </c>
      <c r="M67" s="21" t="str">
        <f>IF($G67="","",MEDIAN('Reference Data'!$H$1,'Reference Data'!$H$2,$G67+3*IF($G67='Reference Data'!$H$2,1,-1)))</f>
        <v/>
      </c>
      <c r="N67" s="18" t="str">
        <f>IFERROR(INDEX('Reference Data'!$D$2:$D$6,MATCH($O67,'Reference Data'!$E$2:$E$6,0)),"")</f>
        <v/>
      </c>
      <c r="O67" s="22" t="str">
        <f>IF($G67="","",MEDIAN('Reference Data'!$H$1,'Reference Data'!$H$2,$G67+4*IF($G67='Reference Data'!$H$2,1,-1)))</f>
        <v/>
      </c>
      <c r="P67" s="15"/>
      <c r="Q67" s="18"/>
      <c r="R67" s="20"/>
      <c r="S67" s="39" t="str">
        <f>IF($D67="","",IF($D67='Reference Data'!$A$11,"",IFERROR(IF(VLOOKUP($D67,'Reference Data'!$A$9:$C$11,3,FALSE)="",1,VLOOKUP($D67,'Reference Data'!$A$9:$C$11,3,FALSE)),1)))</f>
        <v/>
      </c>
      <c r="T67" s="40" t="str">
        <f>IF($D67="","",IFERROR(VLOOKUP($D67,'Reference Data'!$A$9:$B$11,2,FALSE),""))</f>
        <v/>
      </c>
      <c r="U67" s="15"/>
    </row>
    <row r="68" spans="1:21" ht="22.05" customHeight="1" x14ac:dyDescent="0.4">
      <c r="A68" s="43"/>
      <c r="B68" s="46"/>
      <c r="C68" s="12"/>
      <c r="D68" s="13"/>
      <c r="E68" s="14"/>
      <c r="F68" s="15" t="str">
        <f>IFERROR(INDEX('Reference Data'!$D$2:$D$6,MATCH($G68,'Reference Data'!$E$2:$E$6,0)),"")</f>
        <v/>
      </c>
      <c r="G68" s="21" t="str">
        <f>IF($D68="Scale",'Reference Data'!$H$2,"")</f>
        <v/>
      </c>
      <c r="H68" s="17" t="str">
        <f>IFERROR(INDEX('Reference Data'!$D$2:$D$6,MATCH($I68,'Reference Data'!$E$2:$E$6,0)),"")</f>
        <v/>
      </c>
      <c r="I68" s="21" t="str">
        <f>IF($G68="","",MEDIAN('Reference Data'!$H$1,'Reference Data'!$H$2,$G68+1*IF($G68='Reference Data'!$H$2,1,-1)))</f>
        <v/>
      </c>
      <c r="J68" s="17" t="str">
        <f>IFERROR(INDEX('Reference Data'!$D$2:$D$6,MATCH($K68,'Reference Data'!$E$2:$E$6,0)),"")</f>
        <v/>
      </c>
      <c r="K68" s="21" t="str">
        <f>IF($G68="","",MEDIAN('Reference Data'!$H$1,'Reference Data'!$H$2,$G68+2*IF($G68='Reference Data'!$H$2,1,-1)))</f>
        <v/>
      </c>
      <c r="L68" s="17" t="str">
        <f>IFERROR(INDEX('Reference Data'!$D$2:$D$6,MATCH($M68,'Reference Data'!$E$2:$E$6,0)),"")</f>
        <v/>
      </c>
      <c r="M68" s="21" t="str">
        <f>IF($G68="","",MEDIAN('Reference Data'!$H$1,'Reference Data'!$H$2,$G68+3*IF($G68='Reference Data'!$H$2,1,-1)))</f>
        <v/>
      </c>
      <c r="N68" s="18" t="str">
        <f>IFERROR(INDEX('Reference Data'!$D$2:$D$6,MATCH($O68,'Reference Data'!$E$2:$E$6,0)),"")</f>
        <v/>
      </c>
      <c r="O68" s="22" t="str">
        <f>IF($G68="","",MEDIAN('Reference Data'!$H$1,'Reference Data'!$H$2,$G68+4*IF($G68='Reference Data'!$H$2,1,-1)))</f>
        <v/>
      </c>
      <c r="P68" s="15"/>
      <c r="Q68" s="18"/>
      <c r="R68" s="20"/>
      <c r="S68" s="39" t="str">
        <f>IF($D68="","",IF($D68='Reference Data'!$A$11,"",IFERROR(IF(VLOOKUP($D68,'Reference Data'!$A$9:$C$11,3,FALSE)="",1,VLOOKUP($D68,'Reference Data'!$A$9:$C$11,3,FALSE)),1)))</f>
        <v/>
      </c>
      <c r="T68" s="40" t="str">
        <f>IF($D68="","",IFERROR(VLOOKUP($D68,'Reference Data'!$A$9:$B$11,2,FALSE),""))</f>
        <v/>
      </c>
      <c r="U68" s="15"/>
    </row>
    <row r="69" spans="1:21" ht="22.05" customHeight="1" x14ac:dyDescent="0.4">
      <c r="A69" s="43"/>
      <c r="B69" s="46"/>
      <c r="C69" s="12"/>
      <c r="D69" s="13"/>
      <c r="E69" s="14"/>
      <c r="F69" s="15" t="str">
        <f>IFERROR(INDEX('Reference Data'!$D$2:$D$6,MATCH($G69,'Reference Data'!$E$2:$E$6,0)),"")</f>
        <v/>
      </c>
      <c r="G69" s="21" t="str">
        <f>IF($D69="Scale",'Reference Data'!$H$2,"")</f>
        <v/>
      </c>
      <c r="H69" s="17" t="str">
        <f>IFERROR(INDEX('Reference Data'!$D$2:$D$6,MATCH($I69,'Reference Data'!$E$2:$E$6,0)),"")</f>
        <v/>
      </c>
      <c r="I69" s="21" t="str">
        <f>IF($G69="","",MEDIAN('Reference Data'!$H$1,'Reference Data'!$H$2,$G69+1*IF($G69='Reference Data'!$H$2,1,-1)))</f>
        <v/>
      </c>
      <c r="J69" s="17" t="str">
        <f>IFERROR(INDEX('Reference Data'!$D$2:$D$6,MATCH($K69,'Reference Data'!$E$2:$E$6,0)),"")</f>
        <v/>
      </c>
      <c r="K69" s="21" t="str">
        <f>IF($G69="","",MEDIAN('Reference Data'!$H$1,'Reference Data'!$H$2,$G69+2*IF($G69='Reference Data'!$H$2,1,-1)))</f>
        <v/>
      </c>
      <c r="L69" s="17" t="str">
        <f>IFERROR(INDEX('Reference Data'!$D$2:$D$6,MATCH($M69,'Reference Data'!$E$2:$E$6,0)),"")</f>
        <v/>
      </c>
      <c r="M69" s="21" t="str">
        <f>IF($G69="","",MEDIAN('Reference Data'!$H$1,'Reference Data'!$H$2,$G69+3*IF($G69='Reference Data'!$H$2,1,-1)))</f>
        <v/>
      </c>
      <c r="N69" s="18" t="str">
        <f>IFERROR(INDEX('Reference Data'!$D$2:$D$6,MATCH($O69,'Reference Data'!$E$2:$E$6,0)),"")</f>
        <v/>
      </c>
      <c r="O69" s="22" t="str">
        <f>IF($G69="","",MEDIAN('Reference Data'!$H$1,'Reference Data'!$H$2,$G69+4*IF($G69='Reference Data'!$H$2,1,-1)))</f>
        <v/>
      </c>
      <c r="P69" s="15"/>
      <c r="Q69" s="18"/>
      <c r="R69" s="20"/>
      <c r="S69" s="39" t="str">
        <f>IF($D69="","",IF($D69='Reference Data'!$A$11,"",IFERROR(IF(VLOOKUP($D69,'Reference Data'!$A$9:$C$11,3,FALSE)="",1,VLOOKUP($D69,'Reference Data'!$A$9:$C$11,3,FALSE)),1)))</f>
        <v/>
      </c>
      <c r="T69" s="40" t="str">
        <f>IF($D69="","",IFERROR(VLOOKUP($D69,'Reference Data'!$A$9:$B$11,2,FALSE),""))</f>
        <v/>
      </c>
      <c r="U69" s="15"/>
    </row>
    <row r="70" spans="1:21" ht="22.05" customHeight="1" x14ac:dyDescent="0.4">
      <c r="A70" s="43"/>
      <c r="B70" s="46"/>
      <c r="C70" s="12"/>
      <c r="D70" s="13"/>
      <c r="E70" s="14"/>
      <c r="F70" s="15" t="str">
        <f>IFERROR(INDEX('Reference Data'!$D$2:$D$6,MATCH($G70,'Reference Data'!$E$2:$E$6,0)),"")</f>
        <v/>
      </c>
      <c r="G70" s="21" t="str">
        <f>IF($D70="Scale",'Reference Data'!$H$2,"")</f>
        <v/>
      </c>
      <c r="H70" s="17" t="str">
        <f>IFERROR(INDEX('Reference Data'!$D$2:$D$6,MATCH($I70,'Reference Data'!$E$2:$E$6,0)),"")</f>
        <v/>
      </c>
      <c r="I70" s="21" t="str">
        <f>IF($G70="","",MEDIAN('Reference Data'!$H$1,'Reference Data'!$H$2,$G70+1*IF($G70='Reference Data'!$H$2,1,-1)))</f>
        <v/>
      </c>
      <c r="J70" s="17" t="str">
        <f>IFERROR(INDEX('Reference Data'!$D$2:$D$6,MATCH($K70,'Reference Data'!$E$2:$E$6,0)),"")</f>
        <v/>
      </c>
      <c r="K70" s="21" t="str">
        <f>IF($G70="","",MEDIAN('Reference Data'!$H$1,'Reference Data'!$H$2,$G70+2*IF($G70='Reference Data'!$H$2,1,-1)))</f>
        <v/>
      </c>
      <c r="L70" s="17" t="str">
        <f>IFERROR(INDEX('Reference Data'!$D$2:$D$6,MATCH($M70,'Reference Data'!$E$2:$E$6,0)),"")</f>
        <v/>
      </c>
      <c r="M70" s="21" t="str">
        <f>IF($G70="","",MEDIAN('Reference Data'!$H$1,'Reference Data'!$H$2,$G70+3*IF($G70='Reference Data'!$H$2,1,-1)))</f>
        <v/>
      </c>
      <c r="N70" s="18" t="str">
        <f>IFERROR(INDEX('Reference Data'!$D$2:$D$6,MATCH($O70,'Reference Data'!$E$2:$E$6,0)),"")</f>
        <v/>
      </c>
      <c r="O70" s="22" t="str">
        <f>IF($G70="","",MEDIAN('Reference Data'!$H$1,'Reference Data'!$H$2,$G70+4*IF($G70='Reference Data'!$H$2,1,-1)))</f>
        <v/>
      </c>
      <c r="P70" s="15"/>
      <c r="Q70" s="18"/>
      <c r="R70" s="20"/>
      <c r="S70" s="39" t="str">
        <f>IF($D70="","",IF($D70='Reference Data'!$A$11,"",IFERROR(IF(VLOOKUP($D70,'Reference Data'!$A$9:$C$11,3,FALSE)="",1,VLOOKUP($D70,'Reference Data'!$A$9:$C$11,3,FALSE)),1)))</f>
        <v/>
      </c>
      <c r="T70" s="40" t="str">
        <f>IF($D70="","",IFERROR(VLOOKUP($D70,'Reference Data'!$A$9:$B$11,2,FALSE),""))</f>
        <v/>
      </c>
      <c r="U70" s="15"/>
    </row>
    <row r="71" spans="1:21" ht="22.05" customHeight="1" x14ac:dyDescent="0.4">
      <c r="A71" s="43"/>
      <c r="B71" s="46"/>
      <c r="C71" s="12"/>
      <c r="D71" s="13"/>
      <c r="E71" s="14"/>
      <c r="F71" s="15" t="str">
        <f>IFERROR(INDEX('Reference Data'!$D$2:$D$6,MATCH($G71,'Reference Data'!$E$2:$E$6,0)),"")</f>
        <v/>
      </c>
      <c r="G71" s="21" t="str">
        <f>IF($D71="Scale",'Reference Data'!$H$2,"")</f>
        <v/>
      </c>
      <c r="H71" s="17" t="str">
        <f>IFERROR(INDEX('Reference Data'!$D$2:$D$6,MATCH($I71,'Reference Data'!$E$2:$E$6,0)),"")</f>
        <v/>
      </c>
      <c r="I71" s="21" t="str">
        <f>IF($G71="","",MEDIAN('Reference Data'!$H$1,'Reference Data'!$H$2,$G71+1*IF($G71='Reference Data'!$H$2,1,-1)))</f>
        <v/>
      </c>
      <c r="J71" s="17" t="str">
        <f>IFERROR(INDEX('Reference Data'!$D$2:$D$6,MATCH($K71,'Reference Data'!$E$2:$E$6,0)),"")</f>
        <v/>
      </c>
      <c r="K71" s="21" t="str">
        <f>IF($G71="","",MEDIAN('Reference Data'!$H$1,'Reference Data'!$H$2,$G71+2*IF($G71='Reference Data'!$H$2,1,-1)))</f>
        <v/>
      </c>
      <c r="L71" s="17" t="str">
        <f>IFERROR(INDEX('Reference Data'!$D$2:$D$6,MATCH($M71,'Reference Data'!$E$2:$E$6,0)),"")</f>
        <v/>
      </c>
      <c r="M71" s="21" t="str">
        <f>IF($G71="","",MEDIAN('Reference Data'!$H$1,'Reference Data'!$H$2,$G71+3*IF($G71='Reference Data'!$H$2,1,-1)))</f>
        <v/>
      </c>
      <c r="N71" s="18" t="str">
        <f>IFERROR(INDEX('Reference Data'!$D$2:$D$6,MATCH($O71,'Reference Data'!$E$2:$E$6,0)),"")</f>
        <v/>
      </c>
      <c r="O71" s="22" t="str">
        <f>IF($G71="","",MEDIAN('Reference Data'!$H$1,'Reference Data'!$H$2,$G71+4*IF($G71='Reference Data'!$H$2,1,-1)))</f>
        <v/>
      </c>
      <c r="P71" s="15"/>
      <c r="Q71" s="18"/>
      <c r="R71" s="20"/>
      <c r="S71" s="39" t="str">
        <f>IF($D71="","",IF($D71='Reference Data'!$A$11,"",IFERROR(IF(VLOOKUP($D71,'Reference Data'!$A$9:$C$11,3,FALSE)="",1,VLOOKUP($D71,'Reference Data'!$A$9:$C$11,3,FALSE)),1)))</f>
        <v/>
      </c>
      <c r="T71" s="40" t="str">
        <f>IF($D71="","",IFERROR(VLOOKUP($D71,'Reference Data'!$A$9:$B$11,2,FALSE),""))</f>
        <v/>
      </c>
      <c r="U71" s="15"/>
    </row>
    <row r="72" spans="1:21" ht="22.05" customHeight="1" x14ac:dyDescent="0.4">
      <c r="A72" s="43"/>
      <c r="B72" s="46"/>
      <c r="C72" s="12"/>
      <c r="D72" s="13"/>
      <c r="E72" s="14"/>
      <c r="F72" s="15" t="str">
        <f>IFERROR(INDEX('Reference Data'!$D$2:$D$6,MATCH($G72,'Reference Data'!$E$2:$E$6,0)),"")</f>
        <v/>
      </c>
      <c r="G72" s="21" t="str">
        <f>IF($D72="Scale",'Reference Data'!$H$2,"")</f>
        <v/>
      </c>
      <c r="H72" s="17" t="str">
        <f>IFERROR(INDEX('Reference Data'!$D$2:$D$6,MATCH($I72,'Reference Data'!$E$2:$E$6,0)),"")</f>
        <v/>
      </c>
      <c r="I72" s="21" t="str">
        <f>IF($G72="","",MEDIAN('Reference Data'!$H$1,'Reference Data'!$H$2,$G72+1*IF($G72='Reference Data'!$H$2,1,-1)))</f>
        <v/>
      </c>
      <c r="J72" s="17" t="str">
        <f>IFERROR(INDEX('Reference Data'!$D$2:$D$6,MATCH($K72,'Reference Data'!$E$2:$E$6,0)),"")</f>
        <v/>
      </c>
      <c r="K72" s="21" t="str">
        <f>IF($G72="","",MEDIAN('Reference Data'!$H$1,'Reference Data'!$H$2,$G72+2*IF($G72='Reference Data'!$H$2,1,-1)))</f>
        <v/>
      </c>
      <c r="L72" s="17" t="str">
        <f>IFERROR(INDEX('Reference Data'!$D$2:$D$6,MATCH($M72,'Reference Data'!$E$2:$E$6,0)),"")</f>
        <v/>
      </c>
      <c r="M72" s="21" t="str">
        <f>IF($G72="","",MEDIAN('Reference Data'!$H$1,'Reference Data'!$H$2,$G72+3*IF($G72='Reference Data'!$H$2,1,-1)))</f>
        <v/>
      </c>
      <c r="N72" s="18" t="str">
        <f>IFERROR(INDEX('Reference Data'!$D$2:$D$6,MATCH($O72,'Reference Data'!$E$2:$E$6,0)),"")</f>
        <v/>
      </c>
      <c r="O72" s="22" t="str">
        <f>IF($G72="","",MEDIAN('Reference Data'!$H$1,'Reference Data'!$H$2,$G72+4*IF($G72='Reference Data'!$H$2,1,-1)))</f>
        <v/>
      </c>
      <c r="P72" s="15"/>
      <c r="Q72" s="18"/>
      <c r="R72" s="20"/>
      <c r="S72" s="39" t="str">
        <f>IF($D72="","",IF($D72='Reference Data'!$A$11,"",IFERROR(IF(VLOOKUP($D72,'Reference Data'!$A$9:$C$11,3,FALSE)="",1,VLOOKUP($D72,'Reference Data'!$A$9:$C$11,3,FALSE)),1)))</f>
        <v/>
      </c>
      <c r="T72" s="40" t="str">
        <f>IF($D72="","",IFERROR(VLOOKUP($D72,'Reference Data'!$A$9:$B$11,2,FALSE),""))</f>
        <v/>
      </c>
      <c r="U72" s="15"/>
    </row>
    <row r="73" spans="1:21" ht="22.05" customHeight="1" x14ac:dyDescent="0.4">
      <c r="A73" s="43"/>
      <c r="B73" s="46"/>
      <c r="C73" s="12"/>
      <c r="D73" s="13"/>
      <c r="E73" s="14"/>
      <c r="F73" s="15" t="str">
        <f>IFERROR(INDEX('Reference Data'!$D$2:$D$6,MATCH($G73,'Reference Data'!$E$2:$E$6,0)),"")</f>
        <v/>
      </c>
      <c r="G73" s="21" t="str">
        <f>IF($D73="Scale",'Reference Data'!$H$2,"")</f>
        <v/>
      </c>
      <c r="H73" s="17" t="str">
        <f>IFERROR(INDEX('Reference Data'!$D$2:$D$6,MATCH($I73,'Reference Data'!$E$2:$E$6,0)),"")</f>
        <v/>
      </c>
      <c r="I73" s="21" t="str">
        <f>IF($G73="","",MEDIAN('Reference Data'!$H$1,'Reference Data'!$H$2,$G73+1*IF($G73='Reference Data'!$H$2,1,-1)))</f>
        <v/>
      </c>
      <c r="J73" s="17" t="str">
        <f>IFERROR(INDEX('Reference Data'!$D$2:$D$6,MATCH($K73,'Reference Data'!$E$2:$E$6,0)),"")</f>
        <v/>
      </c>
      <c r="K73" s="21" t="str">
        <f>IF($G73="","",MEDIAN('Reference Data'!$H$1,'Reference Data'!$H$2,$G73+2*IF($G73='Reference Data'!$H$2,1,-1)))</f>
        <v/>
      </c>
      <c r="L73" s="17" t="str">
        <f>IFERROR(INDEX('Reference Data'!$D$2:$D$6,MATCH($M73,'Reference Data'!$E$2:$E$6,0)),"")</f>
        <v/>
      </c>
      <c r="M73" s="21" t="str">
        <f>IF($G73="","",MEDIAN('Reference Data'!$H$1,'Reference Data'!$H$2,$G73+3*IF($G73='Reference Data'!$H$2,1,-1)))</f>
        <v/>
      </c>
      <c r="N73" s="18" t="str">
        <f>IFERROR(INDEX('Reference Data'!$D$2:$D$6,MATCH($O73,'Reference Data'!$E$2:$E$6,0)),"")</f>
        <v/>
      </c>
      <c r="O73" s="22" t="str">
        <f>IF($G73="","",MEDIAN('Reference Data'!$H$1,'Reference Data'!$H$2,$G73+4*IF($G73='Reference Data'!$H$2,1,-1)))</f>
        <v/>
      </c>
      <c r="P73" s="15"/>
      <c r="Q73" s="18"/>
      <c r="R73" s="20"/>
      <c r="S73" s="39" t="str">
        <f>IF($D73="","",IF($D73='Reference Data'!$A$11,"",IFERROR(IF(VLOOKUP($D73,'Reference Data'!$A$9:$C$11,3,FALSE)="",1,VLOOKUP($D73,'Reference Data'!$A$9:$C$11,3,FALSE)),1)))</f>
        <v/>
      </c>
      <c r="T73" s="40" t="str">
        <f>IF($D73="","",IFERROR(VLOOKUP($D73,'Reference Data'!$A$9:$B$11,2,FALSE),""))</f>
        <v/>
      </c>
      <c r="U73" s="15"/>
    </row>
    <row r="74" spans="1:21" ht="22.05" customHeight="1" x14ac:dyDescent="0.4">
      <c r="A74" s="43"/>
      <c r="B74" s="46"/>
      <c r="C74" s="12"/>
      <c r="D74" s="13"/>
      <c r="E74" s="14"/>
      <c r="F74" s="15" t="str">
        <f>IFERROR(INDEX('Reference Data'!$D$2:$D$6,MATCH($G74,'Reference Data'!$E$2:$E$6,0)),"")</f>
        <v/>
      </c>
      <c r="G74" s="21" t="str">
        <f>IF($D74="Scale",'Reference Data'!$H$2,"")</f>
        <v/>
      </c>
      <c r="H74" s="17" t="str">
        <f>IFERROR(INDEX('Reference Data'!$D$2:$D$6,MATCH($I74,'Reference Data'!$E$2:$E$6,0)),"")</f>
        <v/>
      </c>
      <c r="I74" s="21" t="str">
        <f>IF($G74="","",MEDIAN('Reference Data'!$H$1,'Reference Data'!$H$2,$G74+1*IF($G74='Reference Data'!$H$2,1,-1)))</f>
        <v/>
      </c>
      <c r="J74" s="17" t="str">
        <f>IFERROR(INDEX('Reference Data'!$D$2:$D$6,MATCH($K74,'Reference Data'!$E$2:$E$6,0)),"")</f>
        <v/>
      </c>
      <c r="K74" s="21" t="str">
        <f>IF($G74="","",MEDIAN('Reference Data'!$H$1,'Reference Data'!$H$2,$G74+2*IF($G74='Reference Data'!$H$2,1,-1)))</f>
        <v/>
      </c>
      <c r="L74" s="17" t="str">
        <f>IFERROR(INDEX('Reference Data'!$D$2:$D$6,MATCH($M74,'Reference Data'!$E$2:$E$6,0)),"")</f>
        <v/>
      </c>
      <c r="M74" s="21" t="str">
        <f>IF($G74="","",MEDIAN('Reference Data'!$H$1,'Reference Data'!$H$2,$G74+3*IF($G74='Reference Data'!$H$2,1,-1)))</f>
        <v/>
      </c>
      <c r="N74" s="18" t="str">
        <f>IFERROR(INDEX('Reference Data'!$D$2:$D$6,MATCH($O74,'Reference Data'!$E$2:$E$6,0)),"")</f>
        <v/>
      </c>
      <c r="O74" s="22" t="str">
        <f>IF($G74="","",MEDIAN('Reference Data'!$H$1,'Reference Data'!$H$2,$G74+4*IF($G74='Reference Data'!$H$2,1,-1)))</f>
        <v/>
      </c>
      <c r="P74" s="15"/>
      <c r="Q74" s="18"/>
      <c r="R74" s="20"/>
      <c r="S74" s="39" t="str">
        <f>IF($D74="","",IF($D74='Reference Data'!$A$11,"",IFERROR(IF(VLOOKUP($D74,'Reference Data'!$A$9:$C$11,3,FALSE)="",1,VLOOKUP($D74,'Reference Data'!$A$9:$C$11,3,FALSE)),1)))</f>
        <v/>
      </c>
      <c r="T74" s="40" t="str">
        <f>IF($D74="","",IFERROR(VLOOKUP($D74,'Reference Data'!$A$9:$B$11,2,FALSE),""))</f>
        <v/>
      </c>
      <c r="U74" s="15"/>
    </row>
    <row r="75" spans="1:21" ht="22.05" customHeight="1" x14ac:dyDescent="0.4">
      <c r="A75" s="43"/>
      <c r="B75" s="46"/>
      <c r="C75" s="12"/>
      <c r="D75" s="13"/>
      <c r="E75" s="14"/>
      <c r="F75" s="15" t="str">
        <f>IFERROR(INDEX('Reference Data'!$D$2:$D$6,MATCH($G75,'Reference Data'!$E$2:$E$6,0)),"")</f>
        <v/>
      </c>
      <c r="G75" s="21" t="str">
        <f>IF($D75="Scale",'Reference Data'!$H$2,"")</f>
        <v/>
      </c>
      <c r="H75" s="17" t="str">
        <f>IFERROR(INDEX('Reference Data'!$D$2:$D$6,MATCH($I75,'Reference Data'!$E$2:$E$6,0)),"")</f>
        <v/>
      </c>
      <c r="I75" s="21" t="str">
        <f>IF($G75="","",MEDIAN('Reference Data'!$H$1,'Reference Data'!$H$2,$G75+1*IF($G75='Reference Data'!$H$2,1,-1)))</f>
        <v/>
      </c>
      <c r="J75" s="17" t="str">
        <f>IFERROR(INDEX('Reference Data'!$D$2:$D$6,MATCH($K75,'Reference Data'!$E$2:$E$6,0)),"")</f>
        <v/>
      </c>
      <c r="K75" s="21" t="str">
        <f>IF($G75="","",MEDIAN('Reference Data'!$H$1,'Reference Data'!$H$2,$G75+2*IF($G75='Reference Data'!$H$2,1,-1)))</f>
        <v/>
      </c>
      <c r="L75" s="17" t="str">
        <f>IFERROR(INDEX('Reference Data'!$D$2:$D$6,MATCH($M75,'Reference Data'!$E$2:$E$6,0)),"")</f>
        <v/>
      </c>
      <c r="M75" s="21" t="str">
        <f>IF($G75="","",MEDIAN('Reference Data'!$H$1,'Reference Data'!$H$2,$G75+3*IF($G75='Reference Data'!$H$2,1,-1)))</f>
        <v/>
      </c>
      <c r="N75" s="18" t="str">
        <f>IFERROR(INDEX('Reference Data'!$D$2:$D$6,MATCH($O75,'Reference Data'!$E$2:$E$6,0)),"")</f>
        <v/>
      </c>
      <c r="O75" s="22" t="str">
        <f>IF($G75="","",MEDIAN('Reference Data'!$H$1,'Reference Data'!$H$2,$G75+4*IF($G75='Reference Data'!$H$2,1,-1)))</f>
        <v/>
      </c>
      <c r="P75" s="15"/>
      <c r="Q75" s="18"/>
      <c r="R75" s="20"/>
      <c r="S75" s="39" t="str">
        <f>IF($D75="","",IF($D75='Reference Data'!$A$11,"",IFERROR(IF(VLOOKUP($D75,'Reference Data'!$A$9:$C$11,3,FALSE)="",1,VLOOKUP($D75,'Reference Data'!$A$9:$C$11,3,FALSE)),1)))</f>
        <v/>
      </c>
      <c r="T75" s="40" t="str">
        <f>IF($D75="","",IFERROR(VLOOKUP($D75,'Reference Data'!$A$9:$B$11,2,FALSE),""))</f>
        <v/>
      </c>
      <c r="U75" s="15"/>
    </row>
    <row r="76" spans="1:21" ht="22.05" customHeight="1" x14ac:dyDescent="0.4">
      <c r="A76" s="43"/>
      <c r="B76" s="46"/>
      <c r="C76" s="12"/>
      <c r="D76" s="13"/>
      <c r="E76" s="14"/>
      <c r="F76" s="15" t="str">
        <f>IFERROR(INDEX('Reference Data'!$D$2:$D$6,MATCH($G76,'Reference Data'!$E$2:$E$6,0)),"")</f>
        <v/>
      </c>
      <c r="G76" s="21" t="str">
        <f>IF($D76="Scale",'Reference Data'!$H$2,"")</f>
        <v/>
      </c>
      <c r="H76" s="17" t="str">
        <f>IFERROR(INDEX('Reference Data'!$D$2:$D$6,MATCH($I76,'Reference Data'!$E$2:$E$6,0)),"")</f>
        <v/>
      </c>
      <c r="I76" s="21" t="str">
        <f>IF($G76="","",MEDIAN('Reference Data'!$H$1,'Reference Data'!$H$2,$G76+1*IF($G76='Reference Data'!$H$2,1,-1)))</f>
        <v/>
      </c>
      <c r="J76" s="17" t="str">
        <f>IFERROR(INDEX('Reference Data'!$D$2:$D$6,MATCH($K76,'Reference Data'!$E$2:$E$6,0)),"")</f>
        <v/>
      </c>
      <c r="K76" s="21" t="str">
        <f>IF($G76="","",MEDIAN('Reference Data'!$H$1,'Reference Data'!$H$2,$G76+2*IF($G76='Reference Data'!$H$2,1,-1)))</f>
        <v/>
      </c>
      <c r="L76" s="17" t="str">
        <f>IFERROR(INDEX('Reference Data'!$D$2:$D$6,MATCH($M76,'Reference Data'!$E$2:$E$6,0)),"")</f>
        <v/>
      </c>
      <c r="M76" s="21" t="str">
        <f>IF($G76="","",MEDIAN('Reference Data'!$H$1,'Reference Data'!$H$2,$G76+3*IF($G76='Reference Data'!$H$2,1,-1)))</f>
        <v/>
      </c>
      <c r="N76" s="18" t="str">
        <f>IFERROR(INDEX('Reference Data'!$D$2:$D$6,MATCH($O76,'Reference Data'!$E$2:$E$6,0)),"")</f>
        <v/>
      </c>
      <c r="O76" s="22" t="str">
        <f>IF($G76="","",MEDIAN('Reference Data'!$H$1,'Reference Data'!$H$2,$G76+4*IF($G76='Reference Data'!$H$2,1,-1)))</f>
        <v/>
      </c>
      <c r="P76" s="15"/>
      <c r="Q76" s="18"/>
      <c r="R76" s="20"/>
      <c r="S76" s="39" t="str">
        <f>IF($D76="","",IF($D76='Reference Data'!$A$11,"",IFERROR(IF(VLOOKUP($D76,'Reference Data'!$A$9:$C$11,3,FALSE)="",1,VLOOKUP($D76,'Reference Data'!$A$9:$C$11,3,FALSE)),1)))</f>
        <v/>
      </c>
      <c r="T76" s="40" t="str">
        <f>IF($D76="","",IFERROR(VLOOKUP($D76,'Reference Data'!$A$9:$B$11,2,FALSE),""))</f>
        <v/>
      </c>
      <c r="U76" s="15"/>
    </row>
    <row r="77" spans="1:21" ht="22.05" customHeight="1" x14ac:dyDescent="0.4">
      <c r="A77" s="43"/>
      <c r="B77" s="46"/>
      <c r="C77" s="12"/>
      <c r="D77" s="13"/>
      <c r="E77" s="14"/>
      <c r="F77" s="15" t="str">
        <f>IFERROR(INDEX('Reference Data'!$D$2:$D$6,MATCH($G77,'Reference Data'!$E$2:$E$6,0)),"")</f>
        <v/>
      </c>
      <c r="G77" s="21" t="str">
        <f>IF($D77="Scale",'Reference Data'!$H$2,"")</f>
        <v/>
      </c>
      <c r="H77" s="17" t="str">
        <f>IFERROR(INDEX('Reference Data'!$D$2:$D$6,MATCH($I77,'Reference Data'!$E$2:$E$6,0)),"")</f>
        <v/>
      </c>
      <c r="I77" s="21" t="str">
        <f>IF($G77="","",MEDIAN('Reference Data'!$H$1,'Reference Data'!$H$2,$G77+1*IF($G77='Reference Data'!$H$2,1,-1)))</f>
        <v/>
      </c>
      <c r="J77" s="17" t="str">
        <f>IFERROR(INDEX('Reference Data'!$D$2:$D$6,MATCH($K77,'Reference Data'!$E$2:$E$6,0)),"")</f>
        <v/>
      </c>
      <c r="K77" s="21" t="str">
        <f>IF($G77="","",MEDIAN('Reference Data'!$H$1,'Reference Data'!$H$2,$G77+2*IF($G77='Reference Data'!$H$2,1,-1)))</f>
        <v/>
      </c>
      <c r="L77" s="17" t="str">
        <f>IFERROR(INDEX('Reference Data'!$D$2:$D$6,MATCH($M77,'Reference Data'!$E$2:$E$6,0)),"")</f>
        <v/>
      </c>
      <c r="M77" s="21" t="str">
        <f>IF($G77="","",MEDIAN('Reference Data'!$H$1,'Reference Data'!$H$2,$G77+3*IF($G77='Reference Data'!$H$2,1,-1)))</f>
        <v/>
      </c>
      <c r="N77" s="18" t="str">
        <f>IFERROR(INDEX('Reference Data'!$D$2:$D$6,MATCH($O77,'Reference Data'!$E$2:$E$6,0)),"")</f>
        <v/>
      </c>
      <c r="O77" s="22" t="str">
        <f>IF($G77="","",MEDIAN('Reference Data'!$H$1,'Reference Data'!$H$2,$G77+4*IF($G77='Reference Data'!$H$2,1,-1)))</f>
        <v/>
      </c>
      <c r="P77" s="15"/>
      <c r="Q77" s="18"/>
      <c r="R77" s="20"/>
      <c r="S77" s="39" t="str">
        <f>IF($D77="","",IF($D77='Reference Data'!$A$11,"",IFERROR(IF(VLOOKUP($D77,'Reference Data'!$A$9:$C$11,3,FALSE)="",1,VLOOKUP($D77,'Reference Data'!$A$9:$C$11,3,FALSE)),1)))</f>
        <v/>
      </c>
      <c r="T77" s="40" t="str">
        <f>IF($D77="","",IFERROR(VLOOKUP($D77,'Reference Data'!$A$9:$B$11,2,FALSE),""))</f>
        <v/>
      </c>
      <c r="U77" s="15"/>
    </row>
    <row r="78" spans="1:21" ht="22.05" customHeight="1" x14ac:dyDescent="0.4">
      <c r="A78" s="43"/>
      <c r="B78" s="46"/>
      <c r="C78" s="12"/>
      <c r="D78" s="13"/>
      <c r="E78" s="14"/>
      <c r="F78" s="15" t="str">
        <f>IFERROR(INDEX('Reference Data'!$D$2:$D$6,MATCH($G78,'Reference Data'!$E$2:$E$6,0)),"")</f>
        <v/>
      </c>
      <c r="G78" s="21" t="str">
        <f>IF($D78="Scale",'Reference Data'!$H$2,"")</f>
        <v/>
      </c>
      <c r="H78" s="17" t="str">
        <f>IFERROR(INDEX('Reference Data'!$D$2:$D$6,MATCH($I78,'Reference Data'!$E$2:$E$6,0)),"")</f>
        <v/>
      </c>
      <c r="I78" s="21" t="str">
        <f>IF($G78="","",MEDIAN('Reference Data'!$H$1,'Reference Data'!$H$2,$G78+1*IF($G78='Reference Data'!$H$2,1,-1)))</f>
        <v/>
      </c>
      <c r="J78" s="17" t="str">
        <f>IFERROR(INDEX('Reference Data'!$D$2:$D$6,MATCH($K78,'Reference Data'!$E$2:$E$6,0)),"")</f>
        <v/>
      </c>
      <c r="K78" s="21" t="str">
        <f>IF($G78="","",MEDIAN('Reference Data'!$H$1,'Reference Data'!$H$2,$G78+2*IF($G78='Reference Data'!$H$2,1,-1)))</f>
        <v/>
      </c>
      <c r="L78" s="17" t="str">
        <f>IFERROR(INDEX('Reference Data'!$D$2:$D$6,MATCH($M78,'Reference Data'!$E$2:$E$6,0)),"")</f>
        <v/>
      </c>
      <c r="M78" s="21" t="str">
        <f>IF($G78="","",MEDIAN('Reference Data'!$H$1,'Reference Data'!$H$2,$G78+3*IF($G78='Reference Data'!$H$2,1,-1)))</f>
        <v/>
      </c>
      <c r="N78" s="18" t="str">
        <f>IFERROR(INDEX('Reference Data'!$D$2:$D$6,MATCH($O78,'Reference Data'!$E$2:$E$6,0)),"")</f>
        <v/>
      </c>
      <c r="O78" s="22" t="str">
        <f>IF($G78="","",MEDIAN('Reference Data'!$H$1,'Reference Data'!$H$2,$G78+4*IF($G78='Reference Data'!$H$2,1,-1)))</f>
        <v/>
      </c>
      <c r="P78" s="15"/>
      <c r="Q78" s="18"/>
      <c r="R78" s="20"/>
      <c r="S78" s="39" t="str">
        <f>IF($D78="","",IF($D78='Reference Data'!$A$11,"",IFERROR(IF(VLOOKUP($D78,'Reference Data'!$A$9:$C$11,3,FALSE)="",1,VLOOKUP($D78,'Reference Data'!$A$9:$C$11,3,FALSE)),1)))</f>
        <v/>
      </c>
      <c r="T78" s="40" t="str">
        <f>IF($D78="","",IFERROR(VLOOKUP($D78,'Reference Data'!$A$9:$B$11,2,FALSE),""))</f>
        <v/>
      </c>
      <c r="U78" s="15"/>
    </row>
    <row r="79" spans="1:21" ht="22.05" customHeight="1" x14ac:dyDescent="0.4">
      <c r="A79" s="43"/>
      <c r="B79" s="46"/>
      <c r="C79" s="12"/>
      <c r="D79" s="13"/>
      <c r="E79" s="14"/>
      <c r="F79" s="15" t="str">
        <f>IFERROR(INDEX('Reference Data'!$D$2:$D$6,MATCH($G79,'Reference Data'!$E$2:$E$6,0)),"")</f>
        <v/>
      </c>
      <c r="G79" s="21" t="str">
        <f>IF($D79="Scale",'Reference Data'!$H$2,"")</f>
        <v/>
      </c>
      <c r="H79" s="17" t="str">
        <f>IFERROR(INDEX('Reference Data'!$D$2:$D$6,MATCH($I79,'Reference Data'!$E$2:$E$6,0)),"")</f>
        <v/>
      </c>
      <c r="I79" s="21" t="str">
        <f>IF($G79="","",MEDIAN('Reference Data'!$H$1,'Reference Data'!$H$2,$G79+1*IF($G79='Reference Data'!$H$2,1,-1)))</f>
        <v/>
      </c>
      <c r="J79" s="17" t="str">
        <f>IFERROR(INDEX('Reference Data'!$D$2:$D$6,MATCH($K79,'Reference Data'!$E$2:$E$6,0)),"")</f>
        <v/>
      </c>
      <c r="K79" s="21" t="str">
        <f>IF($G79="","",MEDIAN('Reference Data'!$H$1,'Reference Data'!$H$2,$G79+2*IF($G79='Reference Data'!$H$2,1,-1)))</f>
        <v/>
      </c>
      <c r="L79" s="17" t="str">
        <f>IFERROR(INDEX('Reference Data'!$D$2:$D$6,MATCH($M79,'Reference Data'!$E$2:$E$6,0)),"")</f>
        <v/>
      </c>
      <c r="M79" s="21" t="str">
        <f>IF($G79="","",MEDIAN('Reference Data'!$H$1,'Reference Data'!$H$2,$G79+3*IF($G79='Reference Data'!$H$2,1,-1)))</f>
        <v/>
      </c>
      <c r="N79" s="18" t="str">
        <f>IFERROR(INDEX('Reference Data'!$D$2:$D$6,MATCH($O79,'Reference Data'!$E$2:$E$6,0)),"")</f>
        <v/>
      </c>
      <c r="O79" s="22" t="str">
        <f>IF($G79="","",MEDIAN('Reference Data'!$H$1,'Reference Data'!$H$2,$G79+4*IF($G79='Reference Data'!$H$2,1,-1)))</f>
        <v/>
      </c>
      <c r="P79" s="15"/>
      <c r="Q79" s="18"/>
      <c r="R79" s="20"/>
      <c r="S79" s="39" t="str">
        <f>IF($D79="","",IF($D79='Reference Data'!$A$11,"",IFERROR(IF(VLOOKUP($D79,'Reference Data'!$A$9:$C$11,3,FALSE)="",1,VLOOKUP($D79,'Reference Data'!$A$9:$C$11,3,FALSE)),1)))</f>
        <v/>
      </c>
      <c r="T79" s="40" t="str">
        <f>IF($D79="","",IFERROR(VLOOKUP($D79,'Reference Data'!$A$9:$B$11,2,FALSE),""))</f>
        <v/>
      </c>
      <c r="U79" s="15"/>
    </row>
    <row r="80" spans="1:21" ht="22.05" customHeight="1" x14ac:dyDescent="0.4">
      <c r="A80" s="43"/>
      <c r="B80" s="46"/>
      <c r="C80" s="12"/>
      <c r="D80" s="13"/>
      <c r="E80" s="14"/>
      <c r="F80" s="15" t="str">
        <f>IFERROR(INDEX('Reference Data'!$D$2:$D$6,MATCH($G80,'Reference Data'!$E$2:$E$6,0)),"")</f>
        <v/>
      </c>
      <c r="G80" s="21" t="str">
        <f>IF($D80="Scale",'Reference Data'!$H$2,"")</f>
        <v/>
      </c>
      <c r="H80" s="17" t="str">
        <f>IFERROR(INDEX('Reference Data'!$D$2:$D$6,MATCH($I80,'Reference Data'!$E$2:$E$6,0)),"")</f>
        <v/>
      </c>
      <c r="I80" s="21" t="str">
        <f>IF($G80="","",MEDIAN('Reference Data'!$H$1,'Reference Data'!$H$2,$G80+1*IF($G80='Reference Data'!$H$2,1,-1)))</f>
        <v/>
      </c>
      <c r="J80" s="17" t="str">
        <f>IFERROR(INDEX('Reference Data'!$D$2:$D$6,MATCH($K80,'Reference Data'!$E$2:$E$6,0)),"")</f>
        <v/>
      </c>
      <c r="K80" s="21" t="str">
        <f>IF($G80="","",MEDIAN('Reference Data'!$H$1,'Reference Data'!$H$2,$G80+2*IF($G80='Reference Data'!$H$2,1,-1)))</f>
        <v/>
      </c>
      <c r="L80" s="17" t="str">
        <f>IFERROR(INDEX('Reference Data'!$D$2:$D$6,MATCH($M80,'Reference Data'!$E$2:$E$6,0)),"")</f>
        <v/>
      </c>
      <c r="M80" s="21" t="str">
        <f>IF($G80="","",MEDIAN('Reference Data'!$H$1,'Reference Data'!$H$2,$G80+3*IF($G80='Reference Data'!$H$2,1,-1)))</f>
        <v/>
      </c>
      <c r="N80" s="18" t="str">
        <f>IFERROR(INDEX('Reference Data'!$D$2:$D$6,MATCH($O80,'Reference Data'!$E$2:$E$6,0)),"")</f>
        <v/>
      </c>
      <c r="O80" s="22" t="str">
        <f>IF($G80="","",MEDIAN('Reference Data'!$H$1,'Reference Data'!$H$2,$G80+4*IF($G80='Reference Data'!$H$2,1,-1)))</f>
        <v/>
      </c>
      <c r="P80" s="15"/>
      <c r="Q80" s="18"/>
      <c r="R80" s="20"/>
      <c r="S80" s="39" t="str">
        <f>IF($D80="","",IF($D80='Reference Data'!$A$11,"",IFERROR(IF(VLOOKUP($D80,'Reference Data'!$A$9:$C$11,3,FALSE)="",1,VLOOKUP($D80,'Reference Data'!$A$9:$C$11,3,FALSE)),1)))</f>
        <v/>
      </c>
      <c r="T80" s="40" t="str">
        <f>IF($D80="","",IFERROR(VLOOKUP($D80,'Reference Data'!$A$9:$B$11,2,FALSE),""))</f>
        <v/>
      </c>
      <c r="U80" s="15"/>
    </row>
    <row r="81" spans="1:21" ht="22.05" customHeight="1" x14ac:dyDescent="0.4">
      <c r="A81" s="43"/>
      <c r="B81" s="46"/>
      <c r="C81" s="12"/>
      <c r="D81" s="13"/>
      <c r="E81" s="14"/>
      <c r="F81" s="15" t="str">
        <f>IFERROR(INDEX('Reference Data'!$D$2:$D$6,MATCH($G81,'Reference Data'!$E$2:$E$6,0)),"")</f>
        <v/>
      </c>
      <c r="G81" s="21" t="str">
        <f>IF($D81="Scale",'Reference Data'!$H$2,"")</f>
        <v/>
      </c>
      <c r="H81" s="17" t="str">
        <f>IFERROR(INDEX('Reference Data'!$D$2:$D$6,MATCH($I81,'Reference Data'!$E$2:$E$6,0)),"")</f>
        <v/>
      </c>
      <c r="I81" s="21" t="str">
        <f>IF($G81="","",MEDIAN('Reference Data'!$H$1,'Reference Data'!$H$2,$G81+1*IF($G81='Reference Data'!$H$2,1,-1)))</f>
        <v/>
      </c>
      <c r="J81" s="17" t="str">
        <f>IFERROR(INDEX('Reference Data'!$D$2:$D$6,MATCH($K81,'Reference Data'!$E$2:$E$6,0)),"")</f>
        <v/>
      </c>
      <c r="K81" s="21" t="str">
        <f>IF($G81="","",MEDIAN('Reference Data'!$H$1,'Reference Data'!$H$2,$G81+2*IF($G81='Reference Data'!$H$2,1,-1)))</f>
        <v/>
      </c>
      <c r="L81" s="17" t="str">
        <f>IFERROR(INDEX('Reference Data'!$D$2:$D$6,MATCH($M81,'Reference Data'!$E$2:$E$6,0)),"")</f>
        <v/>
      </c>
      <c r="M81" s="21" t="str">
        <f>IF($G81="","",MEDIAN('Reference Data'!$H$1,'Reference Data'!$H$2,$G81+3*IF($G81='Reference Data'!$H$2,1,-1)))</f>
        <v/>
      </c>
      <c r="N81" s="18" t="str">
        <f>IFERROR(INDEX('Reference Data'!$D$2:$D$6,MATCH($O81,'Reference Data'!$E$2:$E$6,0)),"")</f>
        <v/>
      </c>
      <c r="O81" s="22" t="str">
        <f>IF($G81="","",MEDIAN('Reference Data'!$H$1,'Reference Data'!$H$2,$G81+4*IF($G81='Reference Data'!$H$2,1,-1)))</f>
        <v/>
      </c>
      <c r="P81" s="15"/>
      <c r="Q81" s="18"/>
      <c r="R81" s="20"/>
      <c r="S81" s="39" t="str">
        <f>IF($D81="","",IF($D81='Reference Data'!$A$11,"",IFERROR(IF(VLOOKUP($D81,'Reference Data'!$A$9:$C$11,3,FALSE)="",1,VLOOKUP($D81,'Reference Data'!$A$9:$C$11,3,FALSE)),1)))</f>
        <v/>
      </c>
      <c r="T81" s="40" t="str">
        <f>IF($D81="","",IFERROR(VLOOKUP($D81,'Reference Data'!$A$9:$B$11,2,FALSE),""))</f>
        <v/>
      </c>
      <c r="U81" s="15"/>
    </row>
    <row r="82" spans="1:21" ht="22.05" customHeight="1" x14ac:dyDescent="0.4">
      <c r="A82" s="43"/>
      <c r="B82" s="46"/>
      <c r="C82" s="12"/>
      <c r="D82" s="13"/>
      <c r="E82" s="14"/>
      <c r="F82" s="15" t="str">
        <f>IFERROR(INDEX('Reference Data'!$D$2:$D$6,MATCH($G82,'Reference Data'!$E$2:$E$6,0)),"")</f>
        <v/>
      </c>
      <c r="G82" s="21" t="str">
        <f>IF($D82="Scale",'Reference Data'!$H$2,"")</f>
        <v/>
      </c>
      <c r="H82" s="17" t="str">
        <f>IFERROR(INDEX('Reference Data'!$D$2:$D$6,MATCH($I82,'Reference Data'!$E$2:$E$6,0)),"")</f>
        <v/>
      </c>
      <c r="I82" s="21" t="str">
        <f>IF($G82="","",MEDIAN('Reference Data'!$H$1,'Reference Data'!$H$2,$G82+1*IF($G82='Reference Data'!$H$2,1,-1)))</f>
        <v/>
      </c>
      <c r="J82" s="17" t="str">
        <f>IFERROR(INDEX('Reference Data'!$D$2:$D$6,MATCH($K82,'Reference Data'!$E$2:$E$6,0)),"")</f>
        <v/>
      </c>
      <c r="K82" s="21" t="str">
        <f>IF($G82="","",MEDIAN('Reference Data'!$H$1,'Reference Data'!$H$2,$G82+2*IF($G82='Reference Data'!$H$2,1,-1)))</f>
        <v/>
      </c>
      <c r="L82" s="17" t="str">
        <f>IFERROR(INDEX('Reference Data'!$D$2:$D$6,MATCH($M82,'Reference Data'!$E$2:$E$6,0)),"")</f>
        <v/>
      </c>
      <c r="M82" s="21" t="str">
        <f>IF($G82="","",MEDIAN('Reference Data'!$H$1,'Reference Data'!$H$2,$G82+3*IF($G82='Reference Data'!$H$2,1,-1)))</f>
        <v/>
      </c>
      <c r="N82" s="18" t="str">
        <f>IFERROR(INDEX('Reference Data'!$D$2:$D$6,MATCH($O82,'Reference Data'!$E$2:$E$6,0)),"")</f>
        <v/>
      </c>
      <c r="O82" s="22" t="str">
        <f>IF($G82="","",MEDIAN('Reference Data'!$H$1,'Reference Data'!$H$2,$G82+4*IF($G82='Reference Data'!$H$2,1,-1)))</f>
        <v/>
      </c>
      <c r="P82" s="15"/>
      <c r="Q82" s="18"/>
      <c r="R82" s="20"/>
      <c r="S82" s="39" t="str">
        <f>IF($D82="","",IF($D82='Reference Data'!$A$11,"",IFERROR(IF(VLOOKUP($D82,'Reference Data'!$A$9:$C$11,3,FALSE)="",1,VLOOKUP($D82,'Reference Data'!$A$9:$C$11,3,FALSE)),1)))</f>
        <v/>
      </c>
      <c r="T82" s="40" t="str">
        <f>IF($D82="","",IFERROR(VLOOKUP($D82,'Reference Data'!$A$9:$B$11,2,FALSE),""))</f>
        <v/>
      </c>
      <c r="U82" s="15"/>
    </row>
    <row r="83" spans="1:21" ht="22.05" customHeight="1" x14ac:dyDescent="0.4">
      <c r="A83" s="43"/>
      <c r="B83" s="46"/>
      <c r="C83" s="12"/>
      <c r="D83" s="13"/>
      <c r="E83" s="14"/>
      <c r="F83" s="15" t="str">
        <f>IFERROR(INDEX('Reference Data'!$D$2:$D$6,MATCH($G83,'Reference Data'!$E$2:$E$6,0)),"")</f>
        <v/>
      </c>
      <c r="G83" s="21" t="str">
        <f>IF($D83="Scale",'Reference Data'!$H$2,"")</f>
        <v/>
      </c>
      <c r="H83" s="17" t="str">
        <f>IFERROR(INDEX('Reference Data'!$D$2:$D$6,MATCH($I83,'Reference Data'!$E$2:$E$6,0)),"")</f>
        <v/>
      </c>
      <c r="I83" s="21" t="str">
        <f>IF($G83="","",MEDIAN('Reference Data'!$H$1,'Reference Data'!$H$2,$G83+1*IF($G83='Reference Data'!$H$2,1,-1)))</f>
        <v/>
      </c>
      <c r="J83" s="17" t="str">
        <f>IFERROR(INDEX('Reference Data'!$D$2:$D$6,MATCH($K83,'Reference Data'!$E$2:$E$6,0)),"")</f>
        <v/>
      </c>
      <c r="K83" s="21" t="str">
        <f>IF($G83="","",MEDIAN('Reference Data'!$H$1,'Reference Data'!$H$2,$G83+2*IF($G83='Reference Data'!$H$2,1,-1)))</f>
        <v/>
      </c>
      <c r="L83" s="17" t="str">
        <f>IFERROR(INDEX('Reference Data'!$D$2:$D$6,MATCH($M83,'Reference Data'!$E$2:$E$6,0)),"")</f>
        <v/>
      </c>
      <c r="M83" s="21" t="str">
        <f>IF($G83="","",MEDIAN('Reference Data'!$H$1,'Reference Data'!$H$2,$G83+3*IF($G83='Reference Data'!$H$2,1,-1)))</f>
        <v/>
      </c>
      <c r="N83" s="18" t="str">
        <f>IFERROR(INDEX('Reference Data'!$D$2:$D$6,MATCH($O83,'Reference Data'!$E$2:$E$6,0)),"")</f>
        <v/>
      </c>
      <c r="O83" s="22" t="str">
        <f>IF($G83="","",MEDIAN('Reference Data'!$H$1,'Reference Data'!$H$2,$G83+4*IF($G83='Reference Data'!$H$2,1,-1)))</f>
        <v/>
      </c>
      <c r="P83" s="15"/>
      <c r="Q83" s="18"/>
      <c r="R83" s="20"/>
      <c r="S83" s="39" t="str">
        <f>IF($D83="","",IF($D83='Reference Data'!$A$11,"",IFERROR(IF(VLOOKUP($D83,'Reference Data'!$A$9:$C$11,3,FALSE)="",1,VLOOKUP($D83,'Reference Data'!$A$9:$C$11,3,FALSE)),1)))</f>
        <v/>
      </c>
      <c r="T83" s="40" t="str">
        <f>IF($D83="","",IFERROR(VLOOKUP($D83,'Reference Data'!$A$9:$B$11,2,FALSE),""))</f>
        <v/>
      </c>
      <c r="U83" s="15"/>
    </row>
    <row r="84" spans="1:21" ht="22.05" customHeight="1" x14ac:dyDescent="0.4">
      <c r="A84" s="43"/>
      <c r="B84" s="46"/>
      <c r="C84" s="12"/>
      <c r="D84" s="13"/>
      <c r="E84" s="14"/>
      <c r="F84" s="15" t="str">
        <f>IFERROR(INDEX('Reference Data'!$D$2:$D$6,MATCH($G84,'Reference Data'!$E$2:$E$6,0)),"")</f>
        <v/>
      </c>
      <c r="G84" s="21" t="str">
        <f>IF($D84="Scale",'Reference Data'!$H$2,"")</f>
        <v/>
      </c>
      <c r="H84" s="17" t="str">
        <f>IFERROR(INDEX('Reference Data'!$D$2:$D$6,MATCH($I84,'Reference Data'!$E$2:$E$6,0)),"")</f>
        <v/>
      </c>
      <c r="I84" s="21" t="str">
        <f>IF($G84="","",MEDIAN('Reference Data'!$H$1,'Reference Data'!$H$2,$G84+1*IF($G84='Reference Data'!$H$2,1,-1)))</f>
        <v/>
      </c>
      <c r="J84" s="17" t="str">
        <f>IFERROR(INDEX('Reference Data'!$D$2:$D$6,MATCH($K84,'Reference Data'!$E$2:$E$6,0)),"")</f>
        <v/>
      </c>
      <c r="K84" s="21" t="str">
        <f>IF($G84="","",MEDIAN('Reference Data'!$H$1,'Reference Data'!$H$2,$G84+2*IF($G84='Reference Data'!$H$2,1,-1)))</f>
        <v/>
      </c>
      <c r="L84" s="17" t="str">
        <f>IFERROR(INDEX('Reference Data'!$D$2:$D$6,MATCH($M84,'Reference Data'!$E$2:$E$6,0)),"")</f>
        <v/>
      </c>
      <c r="M84" s="21" t="str">
        <f>IF($G84="","",MEDIAN('Reference Data'!$H$1,'Reference Data'!$H$2,$G84+3*IF($G84='Reference Data'!$H$2,1,-1)))</f>
        <v/>
      </c>
      <c r="N84" s="18" t="str">
        <f>IFERROR(INDEX('Reference Data'!$D$2:$D$6,MATCH($O84,'Reference Data'!$E$2:$E$6,0)),"")</f>
        <v/>
      </c>
      <c r="O84" s="22" t="str">
        <f>IF($G84="","",MEDIAN('Reference Data'!$H$1,'Reference Data'!$H$2,$G84+4*IF($G84='Reference Data'!$H$2,1,-1)))</f>
        <v/>
      </c>
      <c r="P84" s="15"/>
      <c r="Q84" s="18"/>
      <c r="R84" s="20"/>
      <c r="S84" s="39" t="str">
        <f>IF($D84="","",IF($D84='Reference Data'!$A$11,"",IFERROR(IF(VLOOKUP($D84,'Reference Data'!$A$9:$C$11,3,FALSE)="",1,VLOOKUP($D84,'Reference Data'!$A$9:$C$11,3,FALSE)),1)))</f>
        <v/>
      </c>
      <c r="T84" s="40" t="str">
        <f>IF($D84="","",IFERROR(VLOOKUP($D84,'Reference Data'!$A$9:$B$11,2,FALSE),""))</f>
        <v/>
      </c>
      <c r="U84" s="15"/>
    </row>
    <row r="85" spans="1:21" ht="22.05" customHeight="1" x14ac:dyDescent="0.4">
      <c r="A85" s="43"/>
      <c r="B85" s="46"/>
      <c r="C85" s="12"/>
      <c r="D85" s="13"/>
      <c r="E85" s="14"/>
      <c r="F85" s="15" t="str">
        <f>IFERROR(INDEX('Reference Data'!$D$2:$D$6,MATCH($G85,'Reference Data'!$E$2:$E$6,0)),"")</f>
        <v/>
      </c>
      <c r="G85" s="21" t="str">
        <f>IF($D85="Scale",'Reference Data'!$H$2,"")</f>
        <v/>
      </c>
      <c r="H85" s="17" t="str">
        <f>IFERROR(INDEX('Reference Data'!$D$2:$D$6,MATCH($I85,'Reference Data'!$E$2:$E$6,0)),"")</f>
        <v/>
      </c>
      <c r="I85" s="21" t="str">
        <f>IF($G85="","",MEDIAN('Reference Data'!$H$1,'Reference Data'!$H$2,$G85+1*IF($G85='Reference Data'!$H$2,1,-1)))</f>
        <v/>
      </c>
      <c r="J85" s="17" t="str">
        <f>IFERROR(INDEX('Reference Data'!$D$2:$D$6,MATCH($K85,'Reference Data'!$E$2:$E$6,0)),"")</f>
        <v/>
      </c>
      <c r="K85" s="21" t="str">
        <f>IF($G85="","",MEDIAN('Reference Data'!$H$1,'Reference Data'!$H$2,$G85+2*IF($G85='Reference Data'!$H$2,1,-1)))</f>
        <v/>
      </c>
      <c r="L85" s="17" t="str">
        <f>IFERROR(INDEX('Reference Data'!$D$2:$D$6,MATCH($M85,'Reference Data'!$E$2:$E$6,0)),"")</f>
        <v/>
      </c>
      <c r="M85" s="21" t="str">
        <f>IF($G85="","",MEDIAN('Reference Data'!$H$1,'Reference Data'!$H$2,$G85+3*IF($G85='Reference Data'!$H$2,1,-1)))</f>
        <v/>
      </c>
      <c r="N85" s="18" t="str">
        <f>IFERROR(INDEX('Reference Data'!$D$2:$D$6,MATCH($O85,'Reference Data'!$E$2:$E$6,0)),"")</f>
        <v/>
      </c>
      <c r="O85" s="22" t="str">
        <f>IF($G85="","",MEDIAN('Reference Data'!$H$1,'Reference Data'!$H$2,$G85+4*IF($G85='Reference Data'!$H$2,1,-1)))</f>
        <v/>
      </c>
      <c r="P85" s="15"/>
      <c r="Q85" s="18"/>
      <c r="R85" s="20"/>
      <c r="S85" s="39" t="str">
        <f>IF($D85="","",IF($D85='Reference Data'!$A$11,"",IFERROR(IF(VLOOKUP($D85,'Reference Data'!$A$9:$C$11,3,FALSE)="",1,VLOOKUP($D85,'Reference Data'!$A$9:$C$11,3,FALSE)),1)))</f>
        <v/>
      </c>
      <c r="T85" s="40" t="str">
        <f>IF($D85="","",IFERROR(VLOOKUP($D85,'Reference Data'!$A$9:$B$11,2,FALSE),""))</f>
        <v/>
      </c>
      <c r="U85" s="15"/>
    </row>
    <row r="86" spans="1:21" ht="22.05" customHeight="1" x14ac:dyDescent="0.4">
      <c r="A86" s="43"/>
      <c r="B86" s="46"/>
      <c r="C86" s="12"/>
      <c r="D86" s="13"/>
      <c r="E86" s="14"/>
      <c r="F86" s="15" t="str">
        <f>IFERROR(INDEX('Reference Data'!$D$2:$D$6,MATCH($G86,'Reference Data'!$E$2:$E$6,0)),"")</f>
        <v/>
      </c>
      <c r="G86" s="21" t="str">
        <f>IF($D86="Scale",'Reference Data'!$H$2,"")</f>
        <v/>
      </c>
      <c r="H86" s="17" t="str">
        <f>IFERROR(INDEX('Reference Data'!$D$2:$D$6,MATCH($I86,'Reference Data'!$E$2:$E$6,0)),"")</f>
        <v/>
      </c>
      <c r="I86" s="21" t="str">
        <f>IF($G86="","",MEDIAN('Reference Data'!$H$1,'Reference Data'!$H$2,$G86+1*IF($G86='Reference Data'!$H$2,1,-1)))</f>
        <v/>
      </c>
      <c r="J86" s="17" t="str">
        <f>IFERROR(INDEX('Reference Data'!$D$2:$D$6,MATCH($K86,'Reference Data'!$E$2:$E$6,0)),"")</f>
        <v/>
      </c>
      <c r="K86" s="21" t="str">
        <f>IF($G86="","",MEDIAN('Reference Data'!$H$1,'Reference Data'!$H$2,$G86+2*IF($G86='Reference Data'!$H$2,1,-1)))</f>
        <v/>
      </c>
      <c r="L86" s="17" t="str">
        <f>IFERROR(INDEX('Reference Data'!$D$2:$D$6,MATCH($M86,'Reference Data'!$E$2:$E$6,0)),"")</f>
        <v/>
      </c>
      <c r="M86" s="21" t="str">
        <f>IF($G86="","",MEDIAN('Reference Data'!$H$1,'Reference Data'!$H$2,$G86+3*IF($G86='Reference Data'!$H$2,1,-1)))</f>
        <v/>
      </c>
      <c r="N86" s="18" t="str">
        <f>IFERROR(INDEX('Reference Data'!$D$2:$D$6,MATCH($O86,'Reference Data'!$E$2:$E$6,0)),"")</f>
        <v/>
      </c>
      <c r="O86" s="22" t="str">
        <f>IF($G86="","",MEDIAN('Reference Data'!$H$1,'Reference Data'!$H$2,$G86+4*IF($G86='Reference Data'!$H$2,1,-1)))</f>
        <v/>
      </c>
      <c r="P86" s="15"/>
      <c r="Q86" s="18"/>
      <c r="R86" s="20"/>
      <c r="S86" s="39" t="str">
        <f>IF($D86="","",IF($D86='Reference Data'!$A$11,"",IFERROR(IF(VLOOKUP($D86,'Reference Data'!$A$9:$C$11,3,FALSE)="",1,VLOOKUP($D86,'Reference Data'!$A$9:$C$11,3,FALSE)),1)))</f>
        <v/>
      </c>
      <c r="T86" s="40" t="str">
        <f>IF($D86="","",IFERROR(VLOOKUP($D86,'Reference Data'!$A$9:$B$11,2,FALSE),""))</f>
        <v/>
      </c>
      <c r="U86" s="15"/>
    </row>
    <row r="87" spans="1:21" ht="22.05" customHeight="1" x14ac:dyDescent="0.4">
      <c r="A87" s="43"/>
      <c r="B87" s="46"/>
      <c r="C87" s="12"/>
      <c r="D87" s="13"/>
      <c r="E87" s="14"/>
      <c r="F87" s="15" t="str">
        <f>IFERROR(INDEX('Reference Data'!$D$2:$D$6,MATCH($G87,'Reference Data'!$E$2:$E$6,0)),"")</f>
        <v/>
      </c>
      <c r="G87" s="21" t="str">
        <f>IF($D87="Scale",'Reference Data'!$H$2,"")</f>
        <v/>
      </c>
      <c r="H87" s="17" t="str">
        <f>IFERROR(INDEX('Reference Data'!$D$2:$D$6,MATCH($I87,'Reference Data'!$E$2:$E$6,0)),"")</f>
        <v/>
      </c>
      <c r="I87" s="21" t="str">
        <f>IF($G87="","",MEDIAN('Reference Data'!$H$1,'Reference Data'!$H$2,$G87+1*IF($G87='Reference Data'!$H$2,1,-1)))</f>
        <v/>
      </c>
      <c r="J87" s="17" t="str">
        <f>IFERROR(INDEX('Reference Data'!$D$2:$D$6,MATCH($K87,'Reference Data'!$E$2:$E$6,0)),"")</f>
        <v/>
      </c>
      <c r="K87" s="21" t="str">
        <f>IF($G87="","",MEDIAN('Reference Data'!$H$1,'Reference Data'!$H$2,$G87+2*IF($G87='Reference Data'!$H$2,1,-1)))</f>
        <v/>
      </c>
      <c r="L87" s="17" t="str">
        <f>IFERROR(INDEX('Reference Data'!$D$2:$D$6,MATCH($M87,'Reference Data'!$E$2:$E$6,0)),"")</f>
        <v/>
      </c>
      <c r="M87" s="21" t="str">
        <f>IF($G87="","",MEDIAN('Reference Data'!$H$1,'Reference Data'!$H$2,$G87+3*IF($G87='Reference Data'!$H$2,1,-1)))</f>
        <v/>
      </c>
      <c r="N87" s="18" t="str">
        <f>IFERROR(INDEX('Reference Data'!$D$2:$D$6,MATCH($O87,'Reference Data'!$E$2:$E$6,0)),"")</f>
        <v/>
      </c>
      <c r="O87" s="22" t="str">
        <f>IF($G87="","",MEDIAN('Reference Data'!$H$1,'Reference Data'!$H$2,$G87+4*IF($G87='Reference Data'!$H$2,1,-1)))</f>
        <v/>
      </c>
      <c r="P87" s="15"/>
      <c r="Q87" s="18"/>
      <c r="R87" s="20"/>
      <c r="S87" s="39" t="str">
        <f>IF($D87="","",IF($D87='Reference Data'!$A$11,"",IFERROR(IF(VLOOKUP($D87,'Reference Data'!$A$9:$C$11,3,FALSE)="",1,VLOOKUP($D87,'Reference Data'!$A$9:$C$11,3,FALSE)),1)))</f>
        <v/>
      </c>
      <c r="T87" s="40" t="str">
        <f>IF($D87="","",IFERROR(VLOOKUP($D87,'Reference Data'!$A$9:$B$11,2,FALSE),""))</f>
        <v/>
      </c>
      <c r="U87" s="15"/>
    </row>
    <row r="88" spans="1:21" ht="22.05" customHeight="1" x14ac:dyDescent="0.4">
      <c r="A88" s="43"/>
      <c r="B88" s="46"/>
      <c r="C88" s="12"/>
      <c r="D88" s="13"/>
      <c r="E88" s="14"/>
      <c r="F88" s="15" t="str">
        <f>IFERROR(INDEX('Reference Data'!$D$2:$D$6,MATCH($G88,'Reference Data'!$E$2:$E$6,0)),"")</f>
        <v/>
      </c>
      <c r="G88" s="21" t="str">
        <f>IF($D88="Scale",'Reference Data'!$H$2,"")</f>
        <v/>
      </c>
      <c r="H88" s="17" t="str">
        <f>IFERROR(INDEX('Reference Data'!$D$2:$D$6,MATCH($I88,'Reference Data'!$E$2:$E$6,0)),"")</f>
        <v/>
      </c>
      <c r="I88" s="21" t="str">
        <f>IF($G88="","",MEDIAN('Reference Data'!$H$1,'Reference Data'!$H$2,$G88+1*IF($G88='Reference Data'!$H$2,1,-1)))</f>
        <v/>
      </c>
      <c r="J88" s="17" t="str">
        <f>IFERROR(INDEX('Reference Data'!$D$2:$D$6,MATCH($K88,'Reference Data'!$E$2:$E$6,0)),"")</f>
        <v/>
      </c>
      <c r="K88" s="21" t="str">
        <f>IF($G88="","",MEDIAN('Reference Data'!$H$1,'Reference Data'!$H$2,$G88+2*IF($G88='Reference Data'!$H$2,1,-1)))</f>
        <v/>
      </c>
      <c r="L88" s="17" t="str">
        <f>IFERROR(INDEX('Reference Data'!$D$2:$D$6,MATCH($M88,'Reference Data'!$E$2:$E$6,0)),"")</f>
        <v/>
      </c>
      <c r="M88" s="21" t="str">
        <f>IF($G88="","",MEDIAN('Reference Data'!$H$1,'Reference Data'!$H$2,$G88+3*IF($G88='Reference Data'!$H$2,1,-1)))</f>
        <v/>
      </c>
      <c r="N88" s="18" t="str">
        <f>IFERROR(INDEX('Reference Data'!$D$2:$D$6,MATCH($O88,'Reference Data'!$E$2:$E$6,0)),"")</f>
        <v/>
      </c>
      <c r="O88" s="22" t="str">
        <f>IF($G88="","",MEDIAN('Reference Data'!$H$1,'Reference Data'!$H$2,$G88+4*IF($G88='Reference Data'!$H$2,1,-1)))</f>
        <v/>
      </c>
      <c r="P88" s="15"/>
      <c r="Q88" s="18"/>
      <c r="R88" s="20"/>
      <c r="S88" s="39" t="str">
        <f>IF($D88="","",IF($D88='Reference Data'!$A$11,"",IFERROR(IF(VLOOKUP($D88,'Reference Data'!$A$9:$C$11,3,FALSE)="",1,VLOOKUP($D88,'Reference Data'!$A$9:$C$11,3,FALSE)),1)))</f>
        <v/>
      </c>
      <c r="T88" s="40" t="str">
        <f>IF($D88="","",IFERROR(VLOOKUP($D88,'Reference Data'!$A$9:$B$11,2,FALSE),""))</f>
        <v/>
      </c>
      <c r="U88" s="15"/>
    </row>
    <row r="89" spans="1:21" ht="22.05" customHeight="1" x14ac:dyDescent="0.4">
      <c r="A89" s="43"/>
      <c r="B89" s="46"/>
      <c r="C89" s="12"/>
      <c r="D89" s="13"/>
      <c r="E89" s="14"/>
      <c r="F89" s="15" t="str">
        <f>IFERROR(INDEX('Reference Data'!$D$2:$D$6,MATCH($G89,'Reference Data'!$E$2:$E$6,0)),"")</f>
        <v/>
      </c>
      <c r="G89" s="21" t="str">
        <f>IF($D89="Scale",'Reference Data'!$H$2,"")</f>
        <v/>
      </c>
      <c r="H89" s="17" t="str">
        <f>IFERROR(INDEX('Reference Data'!$D$2:$D$6,MATCH($I89,'Reference Data'!$E$2:$E$6,0)),"")</f>
        <v/>
      </c>
      <c r="I89" s="21" t="str">
        <f>IF($G89="","",MEDIAN('Reference Data'!$H$1,'Reference Data'!$H$2,$G89+1*IF($G89='Reference Data'!$H$2,1,-1)))</f>
        <v/>
      </c>
      <c r="J89" s="17" t="str">
        <f>IFERROR(INDEX('Reference Data'!$D$2:$D$6,MATCH($K89,'Reference Data'!$E$2:$E$6,0)),"")</f>
        <v/>
      </c>
      <c r="K89" s="21" t="str">
        <f>IF($G89="","",MEDIAN('Reference Data'!$H$1,'Reference Data'!$H$2,$G89+2*IF($G89='Reference Data'!$H$2,1,-1)))</f>
        <v/>
      </c>
      <c r="L89" s="17" t="str">
        <f>IFERROR(INDEX('Reference Data'!$D$2:$D$6,MATCH($M89,'Reference Data'!$E$2:$E$6,0)),"")</f>
        <v/>
      </c>
      <c r="M89" s="21" t="str">
        <f>IF($G89="","",MEDIAN('Reference Data'!$H$1,'Reference Data'!$H$2,$G89+3*IF($G89='Reference Data'!$H$2,1,-1)))</f>
        <v/>
      </c>
      <c r="N89" s="18" t="str">
        <f>IFERROR(INDEX('Reference Data'!$D$2:$D$6,MATCH($O89,'Reference Data'!$E$2:$E$6,0)),"")</f>
        <v/>
      </c>
      <c r="O89" s="22" t="str">
        <f>IF($G89="","",MEDIAN('Reference Data'!$H$1,'Reference Data'!$H$2,$G89+4*IF($G89='Reference Data'!$H$2,1,-1)))</f>
        <v/>
      </c>
      <c r="P89" s="15"/>
      <c r="Q89" s="18"/>
      <c r="R89" s="20"/>
      <c r="S89" s="39" t="str">
        <f>IF($D89="","",IF($D89='Reference Data'!$A$11,"",IFERROR(IF(VLOOKUP($D89,'Reference Data'!$A$9:$C$11,3,FALSE)="",1,VLOOKUP($D89,'Reference Data'!$A$9:$C$11,3,FALSE)),1)))</f>
        <v/>
      </c>
      <c r="T89" s="40" t="str">
        <f>IF($D89="","",IFERROR(VLOOKUP($D89,'Reference Data'!$A$9:$B$11,2,FALSE),""))</f>
        <v/>
      </c>
      <c r="U89" s="15"/>
    </row>
    <row r="90" spans="1:21" ht="22.05" customHeight="1" x14ac:dyDescent="0.4">
      <c r="A90" s="43"/>
      <c r="B90" s="46"/>
      <c r="C90" s="12"/>
      <c r="D90" s="13"/>
      <c r="E90" s="14"/>
      <c r="F90" s="15" t="str">
        <f>IFERROR(INDEX('Reference Data'!$D$2:$D$6,MATCH($G90,'Reference Data'!$E$2:$E$6,0)),"")</f>
        <v/>
      </c>
      <c r="G90" s="21" t="str">
        <f>IF($D90="Scale",'Reference Data'!$H$2,"")</f>
        <v/>
      </c>
      <c r="H90" s="17" t="str">
        <f>IFERROR(INDEX('Reference Data'!$D$2:$D$6,MATCH($I90,'Reference Data'!$E$2:$E$6,0)),"")</f>
        <v/>
      </c>
      <c r="I90" s="21" t="str">
        <f>IF($G90="","",MEDIAN('Reference Data'!$H$1,'Reference Data'!$H$2,$G90+1*IF($G90='Reference Data'!$H$2,1,-1)))</f>
        <v/>
      </c>
      <c r="J90" s="17" t="str">
        <f>IFERROR(INDEX('Reference Data'!$D$2:$D$6,MATCH($K90,'Reference Data'!$E$2:$E$6,0)),"")</f>
        <v/>
      </c>
      <c r="K90" s="21" t="str">
        <f>IF($G90="","",MEDIAN('Reference Data'!$H$1,'Reference Data'!$H$2,$G90+2*IF($G90='Reference Data'!$H$2,1,-1)))</f>
        <v/>
      </c>
      <c r="L90" s="17" t="str">
        <f>IFERROR(INDEX('Reference Data'!$D$2:$D$6,MATCH($M90,'Reference Data'!$E$2:$E$6,0)),"")</f>
        <v/>
      </c>
      <c r="M90" s="21" t="str">
        <f>IF($G90="","",MEDIAN('Reference Data'!$H$1,'Reference Data'!$H$2,$G90+3*IF($G90='Reference Data'!$H$2,1,-1)))</f>
        <v/>
      </c>
      <c r="N90" s="18" t="str">
        <f>IFERROR(INDEX('Reference Data'!$D$2:$D$6,MATCH($O90,'Reference Data'!$E$2:$E$6,0)),"")</f>
        <v/>
      </c>
      <c r="O90" s="22" t="str">
        <f>IF($G90="","",MEDIAN('Reference Data'!$H$1,'Reference Data'!$H$2,$G90+4*IF($G90='Reference Data'!$H$2,1,-1)))</f>
        <v/>
      </c>
      <c r="P90" s="15"/>
      <c r="Q90" s="18"/>
      <c r="R90" s="20"/>
      <c r="S90" s="39" t="str">
        <f>IF($D90="","",IF($D90='Reference Data'!$A$11,"",IFERROR(IF(VLOOKUP($D90,'Reference Data'!$A$9:$C$11,3,FALSE)="",1,VLOOKUP($D90,'Reference Data'!$A$9:$C$11,3,FALSE)),1)))</f>
        <v/>
      </c>
      <c r="T90" s="40" t="str">
        <f>IF($D90="","",IFERROR(VLOOKUP($D90,'Reference Data'!$A$9:$B$11,2,FALSE),""))</f>
        <v/>
      </c>
      <c r="U90" s="15"/>
    </row>
    <row r="91" spans="1:21" ht="22.05" customHeight="1" x14ac:dyDescent="0.4">
      <c r="A91" s="43"/>
      <c r="B91" s="46"/>
      <c r="C91" s="12"/>
      <c r="D91" s="13"/>
      <c r="E91" s="14"/>
      <c r="F91" s="15" t="str">
        <f>IFERROR(INDEX('Reference Data'!$D$2:$D$6,MATCH($G91,'Reference Data'!$E$2:$E$6,0)),"")</f>
        <v/>
      </c>
      <c r="G91" s="21" t="str">
        <f>IF($D91="Scale",'Reference Data'!$H$2,"")</f>
        <v/>
      </c>
      <c r="H91" s="17" t="str">
        <f>IFERROR(INDEX('Reference Data'!$D$2:$D$6,MATCH($I91,'Reference Data'!$E$2:$E$6,0)),"")</f>
        <v/>
      </c>
      <c r="I91" s="21" t="str">
        <f>IF($G91="","",MEDIAN('Reference Data'!$H$1,'Reference Data'!$H$2,$G91+1*IF($G91='Reference Data'!$H$2,1,-1)))</f>
        <v/>
      </c>
      <c r="J91" s="17" t="str">
        <f>IFERROR(INDEX('Reference Data'!$D$2:$D$6,MATCH($K91,'Reference Data'!$E$2:$E$6,0)),"")</f>
        <v/>
      </c>
      <c r="K91" s="21" t="str">
        <f>IF($G91="","",MEDIAN('Reference Data'!$H$1,'Reference Data'!$H$2,$G91+2*IF($G91='Reference Data'!$H$2,1,-1)))</f>
        <v/>
      </c>
      <c r="L91" s="17" t="str">
        <f>IFERROR(INDEX('Reference Data'!$D$2:$D$6,MATCH($M91,'Reference Data'!$E$2:$E$6,0)),"")</f>
        <v/>
      </c>
      <c r="M91" s="21" t="str">
        <f>IF($G91="","",MEDIAN('Reference Data'!$H$1,'Reference Data'!$H$2,$G91+3*IF($G91='Reference Data'!$H$2,1,-1)))</f>
        <v/>
      </c>
      <c r="N91" s="18" t="str">
        <f>IFERROR(INDEX('Reference Data'!$D$2:$D$6,MATCH($O91,'Reference Data'!$E$2:$E$6,0)),"")</f>
        <v/>
      </c>
      <c r="O91" s="22" t="str">
        <f>IF($G91="","",MEDIAN('Reference Data'!$H$1,'Reference Data'!$H$2,$G91+4*IF($G91='Reference Data'!$H$2,1,-1)))</f>
        <v/>
      </c>
      <c r="P91" s="15"/>
      <c r="Q91" s="18"/>
      <c r="R91" s="20"/>
      <c r="S91" s="39" t="str">
        <f>IF($D91="","",IF($D91='Reference Data'!$A$11,"",IFERROR(IF(VLOOKUP($D91,'Reference Data'!$A$9:$C$11,3,FALSE)="",1,VLOOKUP($D91,'Reference Data'!$A$9:$C$11,3,FALSE)),1)))</f>
        <v/>
      </c>
      <c r="T91" s="40" t="str">
        <f>IF($D91="","",IFERROR(VLOOKUP($D91,'Reference Data'!$A$9:$B$11,2,FALSE),""))</f>
        <v/>
      </c>
      <c r="U91" s="15"/>
    </row>
    <row r="92" spans="1:21" ht="22.05" customHeight="1" x14ac:dyDescent="0.4">
      <c r="A92" s="43"/>
      <c r="B92" s="46"/>
      <c r="C92" s="12"/>
      <c r="D92" s="13"/>
      <c r="E92" s="14"/>
      <c r="F92" s="15" t="str">
        <f>IFERROR(INDEX('Reference Data'!$D$2:$D$6,MATCH($G92,'Reference Data'!$E$2:$E$6,0)),"")</f>
        <v/>
      </c>
      <c r="G92" s="21" t="str">
        <f>IF($D92="Scale",'Reference Data'!$H$2,"")</f>
        <v/>
      </c>
      <c r="H92" s="17" t="str">
        <f>IFERROR(INDEX('Reference Data'!$D$2:$D$6,MATCH($I92,'Reference Data'!$E$2:$E$6,0)),"")</f>
        <v/>
      </c>
      <c r="I92" s="21" t="str">
        <f>IF($G92="","",MEDIAN('Reference Data'!$H$1,'Reference Data'!$H$2,$G92+1*IF($G92='Reference Data'!$H$2,1,-1)))</f>
        <v/>
      </c>
      <c r="J92" s="17" t="str">
        <f>IFERROR(INDEX('Reference Data'!$D$2:$D$6,MATCH($K92,'Reference Data'!$E$2:$E$6,0)),"")</f>
        <v/>
      </c>
      <c r="K92" s="21" t="str">
        <f>IF($G92="","",MEDIAN('Reference Data'!$H$1,'Reference Data'!$H$2,$G92+2*IF($G92='Reference Data'!$H$2,1,-1)))</f>
        <v/>
      </c>
      <c r="L92" s="17" t="str">
        <f>IFERROR(INDEX('Reference Data'!$D$2:$D$6,MATCH($M92,'Reference Data'!$E$2:$E$6,0)),"")</f>
        <v/>
      </c>
      <c r="M92" s="21" t="str">
        <f>IF($G92="","",MEDIAN('Reference Data'!$H$1,'Reference Data'!$H$2,$G92+3*IF($G92='Reference Data'!$H$2,1,-1)))</f>
        <v/>
      </c>
      <c r="N92" s="18" t="str">
        <f>IFERROR(INDEX('Reference Data'!$D$2:$D$6,MATCH($O92,'Reference Data'!$E$2:$E$6,0)),"")</f>
        <v/>
      </c>
      <c r="O92" s="22" t="str">
        <f>IF($G92="","",MEDIAN('Reference Data'!$H$1,'Reference Data'!$H$2,$G92+4*IF($G92='Reference Data'!$H$2,1,-1)))</f>
        <v/>
      </c>
      <c r="P92" s="15"/>
      <c r="Q92" s="18"/>
      <c r="R92" s="20"/>
      <c r="S92" s="39" t="str">
        <f>IF($D92="","",IF($D92='Reference Data'!$A$11,"",IFERROR(IF(VLOOKUP($D92,'Reference Data'!$A$9:$C$11,3,FALSE)="",1,VLOOKUP($D92,'Reference Data'!$A$9:$C$11,3,FALSE)),1)))</f>
        <v/>
      </c>
      <c r="T92" s="40" t="str">
        <f>IF($D92="","",IFERROR(VLOOKUP($D92,'Reference Data'!$A$9:$B$11,2,FALSE),""))</f>
        <v/>
      </c>
      <c r="U92" s="15"/>
    </row>
    <row r="93" spans="1:21" ht="22.05" customHeight="1" x14ac:dyDescent="0.4">
      <c r="A93" s="43"/>
      <c r="B93" s="46"/>
      <c r="C93" s="12"/>
      <c r="D93" s="13"/>
      <c r="E93" s="14"/>
      <c r="F93" s="15" t="str">
        <f>IFERROR(INDEX('Reference Data'!$D$2:$D$6,MATCH($G93,'Reference Data'!$E$2:$E$6,0)),"")</f>
        <v/>
      </c>
      <c r="G93" s="21" t="str">
        <f>IF($D93="Scale",'Reference Data'!$H$2,"")</f>
        <v/>
      </c>
      <c r="H93" s="17" t="str">
        <f>IFERROR(INDEX('Reference Data'!$D$2:$D$6,MATCH($I93,'Reference Data'!$E$2:$E$6,0)),"")</f>
        <v/>
      </c>
      <c r="I93" s="21" t="str">
        <f>IF($G93="","",MEDIAN('Reference Data'!$H$1,'Reference Data'!$H$2,$G93+1*IF($G93='Reference Data'!$H$2,1,-1)))</f>
        <v/>
      </c>
      <c r="J93" s="17" t="str">
        <f>IFERROR(INDEX('Reference Data'!$D$2:$D$6,MATCH($K93,'Reference Data'!$E$2:$E$6,0)),"")</f>
        <v/>
      </c>
      <c r="K93" s="21" t="str">
        <f>IF($G93="","",MEDIAN('Reference Data'!$H$1,'Reference Data'!$H$2,$G93+2*IF($G93='Reference Data'!$H$2,1,-1)))</f>
        <v/>
      </c>
      <c r="L93" s="17" t="str">
        <f>IFERROR(INDEX('Reference Data'!$D$2:$D$6,MATCH($M93,'Reference Data'!$E$2:$E$6,0)),"")</f>
        <v/>
      </c>
      <c r="M93" s="21" t="str">
        <f>IF($G93="","",MEDIAN('Reference Data'!$H$1,'Reference Data'!$H$2,$G93+3*IF($G93='Reference Data'!$H$2,1,-1)))</f>
        <v/>
      </c>
      <c r="N93" s="18" t="str">
        <f>IFERROR(INDEX('Reference Data'!$D$2:$D$6,MATCH($O93,'Reference Data'!$E$2:$E$6,0)),"")</f>
        <v/>
      </c>
      <c r="O93" s="22" t="str">
        <f>IF($G93="","",MEDIAN('Reference Data'!$H$1,'Reference Data'!$H$2,$G93+4*IF($G93='Reference Data'!$H$2,1,-1)))</f>
        <v/>
      </c>
      <c r="P93" s="15"/>
      <c r="Q93" s="18"/>
      <c r="R93" s="20"/>
      <c r="S93" s="39" t="str">
        <f>IF($D93="","",IF($D93='Reference Data'!$A$11,"",IFERROR(IF(VLOOKUP($D93,'Reference Data'!$A$9:$C$11,3,FALSE)="",1,VLOOKUP($D93,'Reference Data'!$A$9:$C$11,3,FALSE)),1)))</f>
        <v/>
      </c>
      <c r="T93" s="40" t="str">
        <f>IF($D93="","",IFERROR(VLOOKUP($D93,'Reference Data'!$A$9:$B$11,2,FALSE),""))</f>
        <v/>
      </c>
      <c r="U93" s="15"/>
    </row>
    <row r="94" spans="1:21" ht="22.05" customHeight="1" x14ac:dyDescent="0.4">
      <c r="A94" s="43"/>
      <c r="B94" s="46"/>
      <c r="C94" s="12"/>
      <c r="D94" s="13"/>
      <c r="E94" s="14"/>
      <c r="F94" s="15" t="str">
        <f>IFERROR(INDEX('Reference Data'!$D$2:$D$6,MATCH($G94,'Reference Data'!$E$2:$E$6,0)),"")</f>
        <v/>
      </c>
      <c r="G94" s="21" t="str">
        <f>IF($D94="Scale",'Reference Data'!$H$2,"")</f>
        <v/>
      </c>
      <c r="H94" s="17" t="str">
        <f>IFERROR(INDEX('Reference Data'!$D$2:$D$6,MATCH($I94,'Reference Data'!$E$2:$E$6,0)),"")</f>
        <v/>
      </c>
      <c r="I94" s="21" t="str">
        <f>IF($G94="","",MEDIAN('Reference Data'!$H$1,'Reference Data'!$H$2,$G94+1*IF($G94='Reference Data'!$H$2,1,-1)))</f>
        <v/>
      </c>
      <c r="J94" s="17" t="str">
        <f>IFERROR(INDEX('Reference Data'!$D$2:$D$6,MATCH($K94,'Reference Data'!$E$2:$E$6,0)),"")</f>
        <v/>
      </c>
      <c r="K94" s="21" t="str">
        <f>IF($G94="","",MEDIAN('Reference Data'!$H$1,'Reference Data'!$H$2,$G94+2*IF($G94='Reference Data'!$H$2,1,-1)))</f>
        <v/>
      </c>
      <c r="L94" s="17" t="str">
        <f>IFERROR(INDEX('Reference Data'!$D$2:$D$6,MATCH($M94,'Reference Data'!$E$2:$E$6,0)),"")</f>
        <v/>
      </c>
      <c r="M94" s="21" t="str">
        <f>IF($G94="","",MEDIAN('Reference Data'!$H$1,'Reference Data'!$H$2,$G94+3*IF($G94='Reference Data'!$H$2,1,-1)))</f>
        <v/>
      </c>
      <c r="N94" s="18" t="str">
        <f>IFERROR(INDEX('Reference Data'!$D$2:$D$6,MATCH($O94,'Reference Data'!$E$2:$E$6,0)),"")</f>
        <v/>
      </c>
      <c r="O94" s="22" t="str">
        <f>IF($G94="","",MEDIAN('Reference Data'!$H$1,'Reference Data'!$H$2,$G94+4*IF($G94='Reference Data'!$H$2,1,-1)))</f>
        <v/>
      </c>
      <c r="P94" s="15"/>
      <c r="Q94" s="18"/>
      <c r="R94" s="20"/>
      <c r="S94" s="39" t="str">
        <f>IF($D94="","",IF($D94='Reference Data'!$A$11,"",IFERROR(IF(VLOOKUP($D94,'Reference Data'!$A$9:$C$11,3,FALSE)="",1,VLOOKUP($D94,'Reference Data'!$A$9:$C$11,3,FALSE)),1)))</f>
        <v/>
      </c>
      <c r="T94" s="40" t="str">
        <f>IF($D94="","",IFERROR(VLOOKUP($D94,'Reference Data'!$A$9:$B$11,2,FALSE),""))</f>
        <v/>
      </c>
      <c r="U94" s="15"/>
    </row>
    <row r="95" spans="1:21" ht="22.05" customHeight="1" x14ac:dyDescent="0.4">
      <c r="A95" s="43"/>
      <c r="B95" s="46"/>
      <c r="C95" s="12"/>
      <c r="D95" s="13"/>
      <c r="E95" s="14"/>
      <c r="F95" s="15" t="str">
        <f>IFERROR(INDEX('Reference Data'!$D$2:$D$6,MATCH($G95,'Reference Data'!$E$2:$E$6,0)),"")</f>
        <v/>
      </c>
      <c r="G95" s="21" t="str">
        <f>IF($D95="Scale",'Reference Data'!$H$2,"")</f>
        <v/>
      </c>
      <c r="H95" s="17" t="str">
        <f>IFERROR(INDEX('Reference Data'!$D$2:$D$6,MATCH($I95,'Reference Data'!$E$2:$E$6,0)),"")</f>
        <v/>
      </c>
      <c r="I95" s="21" t="str">
        <f>IF($G95="","",MEDIAN('Reference Data'!$H$1,'Reference Data'!$H$2,$G95+1*IF($G95='Reference Data'!$H$2,1,-1)))</f>
        <v/>
      </c>
      <c r="J95" s="17" t="str">
        <f>IFERROR(INDEX('Reference Data'!$D$2:$D$6,MATCH($K95,'Reference Data'!$E$2:$E$6,0)),"")</f>
        <v/>
      </c>
      <c r="K95" s="21" t="str">
        <f>IF($G95="","",MEDIAN('Reference Data'!$H$1,'Reference Data'!$H$2,$G95+2*IF($G95='Reference Data'!$H$2,1,-1)))</f>
        <v/>
      </c>
      <c r="L95" s="17" t="str">
        <f>IFERROR(INDEX('Reference Data'!$D$2:$D$6,MATCH($M95,'Reference Data'!$E$2:$E$6,0)),"")</f>
        <v/>
      </c>
      <c r="M95" s="21" t="str">
        <f>IF($G95="","",MEDIAN('Reference Data'!$H$1,'Reference Data'!$H$2,$G95+3*IF($G95='Reference Data'!$H$2,1,-1)))</f>
        <v/>
      </c>
      <c r="N95" s="18" t="str">
        <f>IFERROR(INDEX('Reference Data'!$D$2:$D$6,MATCH($O95,'Reference Data'!$E$2:$E$6,0)),"")</f>
        <v/>
      </c>
      <c r="O95" s="22" t="str">
        <f>IF($G95="","",MEDIAN('Reference Data'!$H$1,'Reference Data'!$H$2,$G95+4*IF($G95='Reference Data'!$H$2,1,-1)))</f>
        <v/>
      </c>
      <c r="P95" s="15"/>
      <c r="Q95" s="18"/>
      <c r="R95" s="20"/>
      <c r="S95" s="39" t="str">
        <f>IF($D95="","",IF($D95='Reference Data'!$A$11,"",IFERROR(IF(VLOOKUP($D95,'Reference Data'!$A$9:$C$11,3,FALSE)="",1,VLOOKUP($D95,'Reference Data'!$A$9:$C$11,3,FALSE)),1)))</f>
        <v/>
      </c>
      <c r="T95" s="40" t="str">
        <f>IF($D95="","",IFERROR(VLOOKUP($D95,'Reference Data'!$A$9:$B$11,2,FALSE),""))</f>
        <v/>
      </c>
      <c r="U95" s="15"/>
    </row>
    <row r="96" spans="1:21" ht="22.05" customHeight="1" x14ac:dyDescent="0.4">
      <c r="A96" s="43"/>
      <c r="B96" s="46"/>
      <c r="C96" s="12"/>
      <c r="D96" s="13"/>
      <c r="E96" s="14"/>
      <c r="F96" s="15" t="str">
        <f>IFERROR(INDEX('Reference Data'!$D$2:$D$6,MATCH($G96,'Reference Data'!$E$2:$E$6,0)),"")</f>
        <v/>
      </c>
      <c r="G96" s="21" t="str">
        <f>IF($D96="Scale",'Reference Data'!$H$2,"")</f>
        <v/>
      </c>
      <c r="H96" s="17" t="str">
        <f>IFERROR(INDEX('Reference Data'!$D$2:$D$6,MATCH($I96,'Reference Data'!$E$2:$E$6,0)),"")</f>
        <v/>
      </c>
      <c r="I96" s="21" t="str">
        <f>IF($G96="","",MEDIAN('Reference Data'!$H$1,'Reference Data'!$H$2,$G96+1*IF($G96='Reference Data'!$H$2,1,-1)))</f>
        <v/>
      </c>
      <c r="J96" s="17" t="str">
        <f>IFERROR(INDEX('Reference Data'!$D$2:$D$6,MATCH($K96,'Reference Data'!$E$2:$E$6,0)),"")</f>
        <v/>
      </c>
      <c r="K96" s="21" t="str">
        <f>IF($G96="","",MEDIAN('Reference Data'!$H$1,'Reference Data'!$H$2,$G96+2*IF($G96='Reference Data'!$H$2,1,-1)))</f>
        <v/>
      </c>
      <c r="L96" s="17" t="str">
        <f>IFERROR(INDEX('Reference Data'!$D$2:$D$6,MATCH($M96,'Reference Data'!$E$2:$E$6,0)),"")</f>
        <v/>
      </c>
      <c r="M96" s="21" t="str">
        <f>IF($G96="","",MEDIAN('Reference Data'!$H$1,'Reference Data'!$H$2,$G96+3*IF($G96='Reference Data'!$H$2,1,-1)))</f>
        <v/>
      </c>
      <c r="N96" s="18" t="str">
        <f>IFERROR(INDEX('Reference Data'!$D$2:$D$6,MATCH($O96,'Reference Data'!$E$2:$E$6,0)),"")</f>
        <v/>
      </c>
      <c r="O96" s="22" t="str">
        <f>IF($G96="","",MEDIAN('Reference Data'!$H$1,'Reference Data'!$H$2,$G96+4*IF($G96='Reference Data'!$H$2,1,-1)))</f>
        <v/>
      </c>
      <c r="P96" s="15"/>
      <c r="Q96" s="18"/>
      <c r="R96" s="20"/>
      <c r="S96" s="39" t="str">
        <f>IF($D96="","",IF($D96='Reference Data'!$A$11,"",IFERROR(IF(VLOOKUP($D96,'Reference Data'!$A$9:$C$11,3,FALSE)="",1,VLOOKUP($D96,'Reference Data'!$A$9:$C$11,3,FALSE)),1)))</f>
        <v/>
      </c>
      <c r="T96" s="40" t="str">
        <f>IF($D96="","",IFERROR(VLOOKUP($D96,'Reference Data'!$A$9:$B$11,2,FALSE),""))</f>
        <v/>
      </c>
      <c r="U96" s="15"/>
    </row>
    <row r="97" spans="1:21" ht="22.05" customHeight="1" x14ac:dyDescent="0.4">
      <c r="A97" s="43"/>
      <c r="B97" s="46"/>
      <c r="C97" s="12"/>
      <c r="D97" s="13"/>
      <c r="E97" s="14"/>
      <c r="F97" s="15" t="str">
        <f>IFERROR(INDEX('Reference Data'!$D$2:$D$6,MATCH($G97,'Reference Data'!$E$2:$E$6,0)),"")</f>
        <v/>
      </c>
      <c r="G97" s="21" t="str">
        <f>IF($D97="Scale",'Reference Data'!$H$2,"")</f>
        <v/>
      </c>
      <c r="H97" s="17" t="str">
        <f>IFERROR(INDEX('Reference Data'!$D$2:$D$6,MATCH($I97,'Reference Data'!$E$2:$E$6,0)),"")</f>
        <v/>
      </c>
      <c r="I97" s="21" t="str">
        <f>IF($G97="","",MEDIAN('Reference Data'!$H$1,'Reference Data'!$H$2,$G97+1*IF($G97='Reference Data'!$H$2,1,-1)))</f>
        <v/>
      </c>
      <c r="J97" s="17" t="str">
        <f>IFERROR(INDEX('Reference Data'!$D$2:$D$6,MATCH($K97,'Reference Data'!$E$2:$E$6,0)),"")</f>
        <v/>
      </c>
      <c r="K97" s="21" t="str">
        <f>IF($G97="","",MEDIAN('Reference Data'!$H$1,'Reference Data'!$H$2,$G97+2*IF($G97='Reference Data'!$H$2,1,-1)))</f>
        <v/>
      </c>
      <c r="L97" s="17" t="str">
        <f>IFERROR(INDEX('Reference Data'!$D$2:$D$6,MATCH($M97,'Reference Data'!$E$2:$E$6,0)),"")</f>
        <v/>
      </c>
      <c r="M97" s="21" t="str">
        <f>IF($G97="","",MEDIAN('Reference Data'!$H$1,'Reference Data'!$H$2,$G97+3*IF($G97='Reference Data'!$H$2,1,-1)))</f>
        <v/>
      </c>
      <c r="N97" s="18" t="str">
        <f>IFERROR(INDEX('Reference Data'!$D$2:$D$6,MATCH($O97,'Reference Data'!$E$2:$E$6,0)),"")</f>
        <v/>
      </c>
      <c r="O97" s="22" t="str">
        <f>IF($G97="","",MEDIAN('Reference Data'!$H$1,'Reference Data'!$H$2,$G97+4*IF($G97='Reference Data'!$H$2,1,-1)))</f>
        <v/>
      </c>
      <c r="P97" s="15"/>
      <c r="Q97" s="18"/>
      <c r="R97" s="20"/>
      <c r="S97" s="39" t="str">
        <f>IF($D97="","",IF($D97='Reference Data'!$A$11,"",IFERROR(IF(VLOOKUP($D97,'Reference Data'!$A$9:$C$11,3,FALSE)="",1,VLOOKUP($D97,'Reference Data'!$A$9:$C$11,3,FALSE)),1)))</f>
        <v/>
      </c>
      <c r="T97" s="40" t="str">
        <f>IF($D97="","",IFERROR(VLOOKUP($D97,'Reference Data'!$A$9:$B$11,2,FALSE),""))</f>
        <v/>
      </c>
      <c r="U97" s="15"/>
    </row>
    <row r="98" spans="1:21" ht="22.05" customHeight="1" x14ac:dyDescent="0.4">
      <c r="A98" s="43"/>
      <c r="B98" s="46"/>
      <c r="C98" s="12"/>
      <c r="D98" s="13"/>
      <c r="E98" s="14"/>
      <c r="F98" s="15" t="str">
        <f>IFERROR(INDEX('Reference Data'!$D$2:$D$6,MATCH($G98,'Reference Data'!$E$2:$E$6,0)),"")</f>
        <v/>
      </c>
      <c r="G98" s="21" t="str">
        <f>IF($D98="Scale",'Reference Data'!$H$2,"")</f>
        <v/>
      </c>
      <c r="H98" s="17" t="str">
        <f>IFERROR(INDEX('Reference Data'!$D$2:$D$6,MATCH($I98,'Reference Data'!$E$2:$E$6,0)),"")</f>
        <v/>
      </c>
      <c r="I98" s="21" t="str">
        <f>IF($G98="","",MEDIAN('Reference Data'!$H$1,'Reference Data'!$H$2,$G98+1*IF($G98='Reference Data'!$H$2,1,-1)))</f>
        <v/>
      </c>
      <c r="J98" s="17" t="str">
        <f>IFERROR(INDEX('Reference Data'!$D$2:$D$6,MATCH($K98,'Reference Data'!$E$2:$E$6,0)),"")</f>
        <v/>
      </c>
      <c r="K98" s="21" t="str">
        <f>IF($G98="","",MEDIAN('Reference Data'!$H$1,'Reference Data'!$H$2,$G98+2*IF($G98='Reference Data'!$H$2,1,-1)))</f>
        <v/>
      </c>
      <c r="L98" s="17" t="str">
        <f>IFERROR(INDEX('Reference Data'!$D$2:$D$6,MATCH($M98,'Reference Data'!$E$2:$E$6,0)),"")</f>
        <v/>
      </c>
      <c r="M98" s="21" t="str">
        <f>IF($G98="","",MEDIAN('Reference Data'!$H$1,'Reference Data'!$H$2,$G98+3*IF($G98='Reference Data'!$H$2,1,-1)))</f>
        <v/>
      </c>
      <c r="N98" s="18" t="str">
        <f>IFERROR(INDEX('Reference Data'!$D$2:$D$6,MATCH($O98,'Reference Data'!$E$2:$E$6,0)),"")</f>
        <v/>
      </c>
      <c r="O98" s="22" t="str">
        <f>IF($G98="","",MEDIAN('Reference Data'!$H$1,'Reference Data'!$H$2,$G98+4*IF($G98='Reference Data'!$H$2,1,-1)))</f>
        <v/>
      </c>
      <c r="P98" s="15"/>
      <c r="Q98" s="18"/>
      <c r="R98" s="20"/>
      <c r="S98" s="39" t="str">
        <f>IF($D98="","",IF($D98='Reference Data'!$A$11,"",IFERROR(IF(VLOOKUP($D98,'Reference Data'!$A$9:$C$11,3,FALSE)="",1,VLOOKUP($D98,'Reference Data'!$A$9:$C$11,3,FALSE)),1)))</f>
        <v/>
      </c>
      <c r="T98" s="40" t="str">
        <f>IF($D98="","",IFERROR(VLOOKUP($D98,'Reference Data'!$A$9:$B$11,2,FALSE),""))</f>
        <v/>
      </c>
      <c r="U98" s="15"/>
    </row>
    <row r="99" spans="1:21" ht="22.05" customHeight="1" x14ac:dyDescent="0.4">
      <c r="A99" s="43"/>
      <c r="B99" s="46"/>
      <c r="C99" s="12"/>
      <c r="D99" s="13"/>
      <c r="E99" s="14"/>
      <c r="F99" s="15" t="str">
        <f>IFERROR(INDEX('Reference Data'!$D$2:$D$6,MATCH($G99,'Reference Data'!$E$2:$E$6,0)),"")</f>
        <v/>
      </c>
      <c r="G99" s="21" t="str">
        <f>IF($D99="Scale",'Reference Data'!$H$2,"")</f>
        <v/>
      </c>
      <c r="H99" s="17" t="str">
        <f>IFERROR(INDEX('Reference Data'!$D$2:$D$6,MATCH($I99,'Reference Data'!$E$2:$E$6,0)),"")</f>
        <v/>
      </c>
      <c r="I99" s="21" t="str">
        <f>IF($G99="","",MEDIAN('Reference Data'!$H$1,'Reference Data'!$H$2,$G99+1*IF($G99='Reference Data'!$H$2,1,-1)))</f>
        <v/>
      </c>
      <c r="J99" s="17" t="str">
        <f>IFERROR(INDEX('Reference Data'!$D$2:$D$6,MATCH($K99,'Reference Data'!$E$2:$E$6,0)),"")</f>
        <v/>
      </c>
      <c r="K99" s="21" t="str">
        <f>IF($G99="","",MEDIAN('Reference Data'!$H$1,'Reference Data'!$H$2,$G99+2*IF($G99='Reference Data'!$H$2,1,-1)))</f>
        <v/>
      </c>
      <c r="L99" s="17" t="str">
        <f>IFERROR(INDEX('Reference Data'!$D$2:$D$6,MATCH($M99,'Reference Data'!$E$2:$E$6,0)),"")</f>
        <v/>
      </c>
      <c r="M99" s="21" t="str">
        <f>IF($G99="","",MEDIAN('Reference Data'!$H$1,'Reference Data'!$H$2,$G99+3*IF($G99='Reference Data'!$H$2,1,-1)))</f>
        <v/>
      </c>
      <c r="N99" s="18" t="str">
        <f>IFERROR(INDEX('Reference Data'!$D$2:$D$6,MATCH($O99,'Reference Data'!$E$2:$E$6,0)),"")</f>
        <v/>
      </c>
      <c r="O99" s="22" t="str">
        <f>IF($G99="","",MEDIAN('Reference Data'!$H$1,'Reference Data'!$H$2,$G99+4*IF($G99='Reference Data'!$H$2,1,-1)))</f>
        <v/>
      </c>
      <c r="P99" s="15"/>
      <c r="Q99" s="18"/>
      <c r="R99" s="20"/>
      <c r="S99" s="39" t="str">
        <f>IF($D99="","",IF($D99='Reference Data'!$A$11,"",IFERROR(IF(VLOOKUP($D99,'Reference Data'!$A$9:$C$11,3,FALSE)="",1,VLOOKUP($D99,'Reference Data'!$A$9:$C$11,3,FALSE)),1)))</f>
        <v/>
      </c>
      <c r="T99" s="40" t="str">
        <f>IF($D99="","",IFERROR(VLOOKUP($D99,'Reference Data'!$A$9:$B$11,2,FALSE),""))</f>
        <v/>
      </c>
      <c r="U99" s="15"/>
    </row>
    <row r="100" spans="1:21" ht="22.05" customHeight="1" x14ac:dyDescent="0.4">
      <c r="A100" s="43"/>
      <c r="B100" s="46"/>
      <c r="C100" s="12"/>
      <c r="D100" s="13"/>
      <c r="E100" s="14"/>
      <c r="F100" s="15" t="str">
        <f>IFERROR(INDEX('Reference Data'!$D$2:$D$6,MATCH($G100,'Reference Data'!$E$2:$E$6,0)),"")</f>
        <v/>
      </c>
      <c r="G100" s="21" t="str">
        <f>IF($D100="Scale",'Reference Data'!$H$2,"")</f>
        <v/>
      </c>
      <c r="H100" s="17" t="str">
        <f>IFERROR(INDEX('Reference Data'!$D$2:$D$6,MATCH($I100,'Reference Data'!$E$2:$E$6,0)),"")</f>
        <v/>
      </c>
      <c r="I100" s="21" t="str">
        <f>IF($G100="","",MEDIAN('Reference Data'!$H$1,'Reference Data'!$H$2,$G100+1*IF($G100='Reference Data'!$H$2,1,-1)))</f>
        <v/>
      </c>
      <c r="J100" s="17" t="str">
        <f>IFERROR(INDEX('Reference Data'!$D$2:$D$6,MATCH($K100,'Reference Data'!$E$2:$E$6,0)),"")</f>
        <v/>
      </c>
      <c r="K100" s="21" t="str">
        <f>IF($G100="","",MEDIAN('Reference Data'!$H$1,'Reference Data'!$H$2,$G100+2*IF($G100='Reference Data'!$H$2,1,-1)))</f>
        <v/>
      </c>
      <c r="L100" s="17" t="str">
        <f>IFERROR(INDEX('Reference Data'!$D$2:$D$6,MATCH($M100,'Reference Data'!$E$2:$E$6,0)),"")</f>
        <v/>
      </c>
      <c r="M100" s="21" t="str">
        <f>IF($G100="","",MEDIAN('Reference Data'!$H$1,'Reference Data'!$H$2,$G100+3*IF($G100='Reference Data'!$H$2,1,-1)))</f>
        <v/>
      </c>
      <c r="N100" s="18" t="str">
        <f>IFERROR(INDEX('Reference Data'!$D$2:$D$6,MATCH($O100,'Reference Data'!$E$2:$E$6,0)),"")</f>
        <v/>
      </c>
      <c r="O100" s="22" t="str">
        <f>IF($G100="","",MEDIAN('Reference Data'!$H$1,'Reference Data'!$H$2,$G100+4*IF($G100='Reference Data'!$H$2,1,-1)))</f>
        <v/>
      </c>
      <c r="P100" s="15"/>
      <c r="Q100" s="18"/>
      <c r="R100" s="20"/>
      <c r="S100" s="39" t="str">
        <f>IF($D100="","",IF($D100='Reference Data'!$A$11,"",IFERROR(IF(VLOOKUP($D100,'Reference Data'!$A$9:$C$11,3,FALSE)="",1,VLOOKUP($D100,'Reference Data'!$A$9:$C$11,3,FALSE)),1)))</f>
        <v/>
      </c>
      <c r="T100" s="40" t="str">
        <f>IF($D100="","",IFERROR(VLOOKUP($D100,'Reference Data'!$A$9:$B$11,2,FALSE),""))</f>
        <v/>
      </c>
      <c r="U100" s="15"/>
    </row>
    <row r="101" spans="1:21" ht="22.05" customHeight="1" x14ac:dyDescent="0.4">
      <c r="A101" s="43"/>
      <c r="B101" s="46"/>
      <c r="C101" s="12"/>
      <c r="D101" s="13"/>
      <c r="E101" s="14"/>
      <c r="F101" s="15" t="str">
        <f>IFERROR(INDEX('Reference Data'!$D$2:$D$6,MATCH($G101,'Reference Data'!$E$2:$E$6,0)),"")</f>
        <v/>
      </c>
      <c r="G101" s="21" t="str">
        <f>IF($D101="Scale",'Reference Data'!$H$2,"")</f>
        <v/>
      </c>
      <c r="H101" s="17" t="str">
        <f>IFERROR(INDEX('Reference Data'!$D$2:$D$6,MATCH($I101,'Reference Data'!$E$2:$E$6,0)),"")</f>
        <v/>
      </c>
      <c r="I101" s="21" t="str">
        <f>IF($G101="","",MEDIAN('Reference Data'!$H$1,'Reference Data'!$H$2,$G101+1*IF($G101='Reference Data'!$H$2,1,-1)))</f>
        <v/>
      </c>
      <c r="J101" s="17" t="str">
        <f>IFERROR(INDEX('Reference Data'!$D$2:$D$6,MATCH($K101,'Reference Data'!$E$2:$E$6,0)),"")</f>
        <v/>
      </c>
      <c r="K101" s="21" t="str">
        <f>IF($G101="","",MEDIAN('Reference Data'!$H$1,'Reference Data'!$H$2,$G101+2*IF($G101='Reference Data'!$H$2,1,-1)))</f>
        <v/>
      </c>
      <c r="L101" s="17" t="str">
        <f>IFERROR(INDEX('Reference Data'!$D$2:$D$6,MATCH($M101,'Reference Data'!$E$2:$E$6,0)),"")</f>
        <v/>
      </c>
      <c r="M101" s="21" t="str">
        <f>IF($G101="","",MEDIAN('Reference Data'!$H$1,'Reference Data'!$H$2,$G101+3*IF($G101='Reference Data'!$H$2,1,-1)))</f>
        <v/>
      </c>
      <c r="N101" s="18" t="str">
        <f>IFERROR(INDEX('Reference Data'!$D$2:$D$6,MATCH($O101,'Reference Data'!$E$2:$E$6,0)),"")</f>
        <v/>
      </c>
      <c r="O101" s="22" t="str">
        <f>IF($G101="","",MEDIAN('Reference Data'!$H$1,'Reference Data'!$H$2,$G101+4*IF($G101='Reference Data'!$H$2,1,-1)))</f>
        <v/>
      </c>
      <c r="P101" s="15"/>
      <c r="Q101" s="18"/>
      <c r="R101" s="20"/>
      <c r="S101" s="39" t="str">
        <f>IF($D101="","",IF($D101='Reference Data'!$A$11,"",IFERROR(IF(VLOOKUP($D101,'Reference Data'!$A$9:$C$11,3,FALSE)="",1,VLOOKUP($D101,'Reference Data'!$A$9:$C$11,3,FALSE)),1)))</f>
        <v/>
      </c>
      <c r="T101" s="40" t="str">
        <f>IF($D101="","",IFERROR(VLOOKUP($D101,'Reference Data'!$A$9:$B$11,2,FALSE),""))</f>
        <v/>
      </c>
      <c r="U101" s="15"/>
    </row>
    <row r="102" spans="1:21" ht="22.05" customHeight="1" x14ac:dyDescent="0.4">
      <c r="A102" s="43"/>
      <c r="B102" s="46"/>
      <c r="C102" s="12"/>
      <c r="D102" s="13"/>
      <c r="E102" s="14"/>
      <c r="F102" s="15" t="str">
        <f>IFERROR(INDEX('Reference Data'!$D$2:$D$6,MATCH($G102,'Reference Data'!$E$2:$E$6,0)),"")</f>
        <v/>
      </c>
      <c r="G102" s="21" t="str">
        <f>IF($D102="Scale",'Reference Data'!$H$2,"")</f>
        <v/>
      </c>
      <c r="H102" s="17" t="str">
        <f>IFERROR(INDEX('Reference Data'!$D$2:$D$6,MATCH($I102,'Reference Data'!$E$2:$E$6,0)),"")</f>
        <v/>
      </c>
      <c r="I102" s="21" t="str">
        <f>IF($G102="","",MEDIAN('Reference Data'!$H$1,'Reference Data'!$H$2,$G102+1*IF($G102='Reference Data'!$H$2,1,-1)))</f>
        <v/>
      </c>
      <c r="J102" s="17" t="str">
        <f>IFERROR(INDEX('Reference Data'!$D$2:$D$6,MATCH($K102,'Reference Data'!$E$2:$E$6,0)),"")</f>
        <v/>
      </c>
      <c r="K102" s="21" t="str">
        <f>IF($G102="","",MEDIAN('Reference Data'!$H$1,'Reference Data'!$H$2,$G102+2*IF($G102='Reference Data'!$H$2,1,-1)))</f>
        <v/>
      </c>
      <c r="L102" s="17" t="str">
        <f>IFERROR(INDEX('Reference Data'!$D$2:$D$6,MATCH($M102,'Reference Data'!$E$2:$E$6,0)),"")</f>
        <v/>
      </c>
      <c r="M102" s="21" t="str">
        <f>IF($G102="","",MEDIAN('Reference Data'!$H$1,'Reference Data'!$H$2,$G102+3*IF($G102='Reference Data'!$H$2,1,-1)))</f>
        <v/>
      </c>
      <c r="N102" s="18" t="str">
        <f>IFERROR(INDEX('Reference Data'!$D$2:$D$6,MATCH($O102,'Reference Data'!$E$2:$E$6,0)),"")</f>
        <v/>
      </c>
      <c r="O102" s="22" t="str">
        <f>IF($G102="","",MEDIAN('Reference Data'!$H$1,'Reference Data'!$H$2,$G102+4*IF($G102='Reference Data'!$H$2,1,-1)))</f>
        <v/>
      </c>
      <c r="P102" s="15"/>
      <c r="Q102" s="18"/>
      <c r="R102" s="20"/>
      <c r="S102" s="39" t="str">
        <f>IF($D102="","",IF($D102='Reference Data'!$A$11,"",IFERROR(IF(VLOOKUP($D102,'Reference Data'!$A$9:$C$11,3,FALSE)="",1,VLOOKUP($D102,'Reference Data'!$A$9:$C$11,3,FALSE)),1)))</f>
        <v/>
      </c>
      <c r="T102" s="40" t="str">
        <f>IF($D102="","",IFERROR(VLOOKUP($D102,'Reference Data'!$A$9:$B$11,2,FALSE),""))</f>
        <v/>
      </c>
      <c r="U102" s="15"/>
    </row>
    <row r="103" spans="1:21" ht="22.05" customHeight="1" x14ac:dyDescent="0.4">
      <c r="A103" s="43"/>
      <c r="B103" s="46"/>
      <c r="C103" s="12"/>
      <c r="D103" s="13"/>
      <c r="E103" s="14"/>
      <c r="F103" s="15" t="str">
        <f>IFERROR(INDEX('Reference Data'!$D$2:$D$6,MATCH($G103,'Reference Data'!$E$2:$E$6,0)),"")</f>
        <v/>
      </c>
      <c r="G103" s="21" t="str">
        <f>IF($D103="Scale",'Reference Data'!$H$2,"")</f>
        <v/>
      </c>
      <c r="H103" s="17" t="str">
        <f>IFERROR(INDEX('Reference Data'!$D$2:$D$6,MATCH($I103,'Reference Data'!$E$2:$E$6,0)),"")</f>
        <v/>
      </c>
      <c r="I103" s="21" t="str">
        <f>IF($G103="","",MEDIAN('Reference Data'!$H$1,'Reference Data'!$H$2,$G103+1*IF($G103='Reference Data'!$H$2,1,-1)))</f>
        <v/>
      </c>
      <c r="J103" s="17" t="str">
        <f>IFERROR(INDEX('Reference Data'!$D$2:$D$6,MATCH($K103,'Reference Data'!$E$2:$E$6,0)),"")</f>
        <v/>
      </c>
      <c r="K103" s="21" t="str">
        <f>IF($G103="","",MEDIAN('Reference Data'!$H$1,'Reference Data'!$H$2,$G103+2*IF($G103='Reference Data'!$H$2,1,-1)))</f>
        <v/>
      </c>
      <c r="L103" s="17" t="str">
        <f>IFERROR(INDEX('Reference Data'!$D$2:$D$6,MATCH($M103,'Reference Data'!$E$2:$E$6,0)),"")</f>
        <v/>
      </c>
      <c r="M103" s="21" t="str">
        <f>IF($G103="","",MEDIAN('Reference Data'!$H$1,'Reference Data'!$H$2,$G103+3*IF($G103='Reference Data'!$H$2,1,-1)))</f>
        <v/>
      </c>
      <c r="N103" s="18" t="str">
        <f>IFERROR(INDEX('Reference Data'!$D$2:$D$6,MATCH($O103,'Reference Data'!$E$2:$E$6,0)),"")</f>
        <v/>
      </c>
      <c r="O103" s="22" t="str">
        <f>IF($G103="","",MEDIAN('Reference Data'!$H$1,'Reference Data'!$H$2,$G103+4*IF($G103='Reference Data'!$H$2,1,-1)))</f>
        <v/>
      </c>
      <c r="P103" s="15"/>
      <c r="Q103" s="18"/>
      <c r="R103" s="20"/>
      <c r="S103" s="39" t="str">
        <f>IF($D103="","",IF($D103='Reference Data'!$A$11,"",IFERROR(IF(VLOOKUP($D103,'Reference Data'!$A$9:$C$11,3,FALSE)="",1,VLOOKUP($D103,'Reference Data'!$A$9:$C$11,3,FALSE)),1)))</f>
        <v/>
      </c>
      <c r="T103" s="40" t="str">
        <f>IF($D103="","",IFERROR(VLOOKUP($D103,'Reference Data'!$A$9:$B$11,2,FALSE),""))</f>
        <v/>
      </c>
      <c r="U103" s="15"/>
    </row>
    <row r="104" spans="1:21" ht="22.05" customHeight="1" x14ac:dyDescent="0.4">
      <c r="A104" s="43"/>
      <c r="B104" s="46"/>
      <c r="C104" s="12"/>
      <c r="D104" s="13"/>
      <c r="E104" s="14"/>
      <c r="F104" s="15" t="str">
        <f>IFERROR(INDEX('Reference Data'!$D$2:$D$6,MATCH($G104,'Reference Data'!$E$2:$E$6,0)),"")</f>
        <v/>
      </c>
      <c r="G104" s="21" t="str">
        <f>IF($D104="Scale",'Reference Data'!$H$2,"")</f>
        <v/>
      </c>
      <c r="H104" s="17" t="str">
        <f>IFERROR(INDEX('Reference Data'!$D$2:$D$6,MATCH($I104,'Reference Data'!$E$2:$E$6,0)),"")</f>
        <v/>
      </c>
      <c r="I104" s="21" t="str">
        <f>IF($G104="","",MEDIAN('Reference Data'!$H$1,'Reference Data'!$H$2,$G104+1*IF($G104='Reference Data'!$H$2,1,-1)))</f>
        <v/>
      </c>
      <c r="J104" s="17" t="str">
        <f>IFERROR(INDEX('Reference Data'!$D$2:$D$6,MATCH($K104,'Reference Data'!$E$2:$E$6,0)),"")</f>
        <v/>
      </c>
      <c r="K104" s="21" t="str">
        <f>IF($G104="","",MEDIAN('Reference Data'!$H$1,'Reference Data'!$H$2,$G104+2*IF($G104='Reference Data'!$H$2,1,-1)))</f>
        <v/>
      </c>
      <c r="L104" s="17" t="str">
        <f>IFERROR(INDEX('Reference Data'!$D$2:$D$6,MATCH($M104,'Reference Data'!$E$2:$E$6,0)),"")</f>
        <v/>
      </c>
      <c r="M104" s="21" t="str">
        <f>IF($G104="","",MEDIAN('Reference Data'!$H$1,'Reference Data'!$H$2,$G104+3*IF($G104='Reference Data'!$H$2,1,-1)))</f>
        <v/>
      </c>
      <c r="N104" s="18" t="str">
        <f>IFERROR(INDEX('Reference Data'!$D$2:$D$6,MATCH($O104,'Reference Data'!$E$2:$E$6,0)),"")</f>
        <v/>
      </c>
      <c r="O104" s="22" t="str">
        <f>IF($G104="","",MEDIAN('Reference Data'!$H$1,'Reference Data'!$H$2,$G104+4*IF($G104='Reference Data'!$H$2,1,-1)))</f>
        <v/>
      </c>
      <c r="P104" s="15"/>
      <c r="Q104" s="18"/>
      <c r="R104" s="20"/>
      <c r="S104" s="39" t="str">
        <f>IF($D104="","",IF($D104='Reference Data'!$A$11,"",IFERROR(IF(VLOOKUP($D104,'Reference Data'!$A$9:$C$11,3,FALSE)="",1,VLOOKUP($D104,'Reference Data'!$A$9:$C$11,3,FALSE)),1)))</f>
        <v/>
      </c>
      <c r="T104" s="40" t="str">
        <f>IF($D104="","",IFERROR(VLOOKUP($D104,'Reference Data'!$A$9:$B$11,2,FALSE),""))</f>
        <v/>
      </c>
      <c r="U104" s="15"/>
    </row>
    <row r="105" spans="1:21" ht="22.05" customHeight="1" x14ac:dyDescent="0.4">
      <c r="A105" s="43"/>
      <c r="B105" s="46"/>
      <c r="C105" s="12"/>
      <c r="D105" s="13"/>
      <c r="E105" s="14"/>
      <c r="F105" s="15" t="str">
        <f>IFERROR(INDEX('Reference Data'!$D$2:$D$6,MATCH($G105,'Reference Data'!$E$2:$E$6,0)),"")</f>
        <v/>
      </c>
      <c r="G105" s="21" t="str">
        <f>IF($D105="Scale",'Reference Data'!$H$2,"")</f>
        <v/>
      </c>
      <c r="H105" s="17" t="str">
        <f>IFERROR(INDEX('Reference Data'!$D$2:$D$6,MATCH($I105,'Reference Data'!$E$2:$E$6,0)),"")</f>
        <v/>
      </c>
      <c r="I105" s="21" t="str">
        <f>IF($G105="","",MEDIAN('Reference Data'!$H$1,'Reference Data'!$H$2,$G105+1*IF($G105='Reference Data'!$H$2,1,-1)))</f>
        <v/>
      </c>
      <c r="J105" s="17" t="str">
        <f>IFERROR(INDEX('Reference Data'!$D$2:$D$6,MATCH($K105,'Reference Data'!$E$2:$E$6,0)),"")</f>
        <v/>
      </c>
      <c r="K105" s="21" t="str">
        <f>IF($G105="","",MEDIAN('Reference Data'!$H$1,'Reference Data'!$H$2,$G105+2*IF($G105='Reference Data'!$H$2,1,-1)))</f>
        <v/>
      </c>
      <c r="L105" s="17" t="str">
        <f>IFERROR(INDEX('Reference Data'!$D$2:$D$6,MATCH($M105,'Reference Data'!$E$2:$E$6,0)),"")</f>
        <v/>
      </c>
      <c r="M105" s="21" t="str">
        <f>IF($G105="","",MEDIAN('Reference Data'!$H$1,'Reference Data'!$H$2,$G105+3*IF($G105='Reference Data'!$H$2,1,-1)))</f>
        <v/>
      </c>
      <c r="N105" s="18" t="str">
        <f>IFERROR(INDEX('Reference Data'!$D$2:$D$6,MATCH($O105,'Reference Data'!$E$2:$E$6,0)),"")</f>
        <v/>
      </c>
      <c r="O105" s="22" t="str">
        <f>IF($G105="","",MEDIAN('Reference Data'!$H$1,'Reference Data'!$H$2,$G105+4*IF($G105='Reference Data'!$H$2,1,-1)))</f>
        <v/>
      </c>
      <c r="P105" s="15"/>
      <c r="Q105" s="18"/>
      <c r="R105" s="20"/>
      <c r="S105" s="39" t="str">
        <f>IF($D105="","",IF($D105='Reference Data'!$A$11,"",IFERROR(IF(VLOOKUP($D105,'Reference Data'!$A$9:$C$11,3,FALSE)="",1,VLOOKUP($D105,'Reference Data'!$A$9:$C$11,3,FALSE)),1)))</f>
        <v/>
      </c>
      <c r="T105" s="40" t="str">
        <f>IF($D105="","",IFERROR(VLOOKUP($D105,'Reference Data'!$A$9:$B$11,2,FALSE),""))</f>
        <v/>
      </c>
      <c r="U105" s="15"/>
    </row>
    <row r="106" spans="1:21" ht="22.05" customHeight="1" x14ac:dyDescent="0.4">
      <c r="A106" s="43"/>
      <c r="B106" s="46"/>
      <c r="C106" s="12"/>
      <c r="D106" s="13"/>
      <c r="E106" s="14"/>
      <c r="F106" s="15" t="str">
        <f>IFERROR(INDEX('Reference Data'!$D$2:$D$6,MATCH($G106,'Reference Data'!$E$2:$E$6,0)),"")</f>
        <v/>
      </c>
      <c r="G106" s="21" t="str">
        <f>IF($D106="Scale",'Reference Data'!$H$2,"")</f>
        <v/>
      </c>
      <c r="H106" s="17" t="str">
        <f>IFERROR(INDEX('Reference Data'!$D$2:$D$6,MATCH($I106,'Reference Data'!$E$2:$E$6,0)),"")</f>
        <v/>
      </c>
      <c r="I106" s="21" t="str">
        <f>IF($G106="","",MEDIAN('Reference Data'!$H$1,'Reference Data'!$H$2,$G106+1*IF($G106='Reference Data'!$H$2,1,-1)))</f>
        <v/>
      </c>
      <c r="J106" s="17" t="str">
        <f>IFERROR(INDEX('Reference Data'!$D$2:$D$6,MATCH($K106,'Reference Data'!$E$2:$E$6,0)),"")</f>
        <v/>
      </c>
      <c r="K106" s="21" t="str">
        <f>IF($G106="","",MEDIAN('Reference Data'!$H$1,'Reference Data'!$H$2,$G106+2*IF($G106='Reference Data'!$H$2,1,-1)))</f>
        <v/>
      </c>
      <c r="L106" s="17" t="str">
        <f>IFERROR(INDEX('Reference Data'!$D$2:$D$6,MATCH($M106,'Reference Data'!$E$2:$E$6,0)),"")</f>
        <v/>
      </c>
      <c r="M106" s="21" t="str">
        <f>IF($G106="","",MEDIAN('Reference Data'!$H$1,'Reference Data'!$H$2,$G106+3*IF($G106='Reference Data'!$H$2,1,-1)))</f>
        <v/>
      </c>
      <c r="N106" s="18" t="str">
        <f>IFERROR(INDEX('Reference Data'!$D$2:$D$6,MATCH($O106,'Reference Data'!$E$2:$E$6,0)),"")</f>
        <v/>
      </c>
      <c r="O106" s="22" t="str">
        <f>IF($G106="","",MEDIAN('Reference Data'!$H$1,'Reference Data'!$H$2,$G106+4*IF($G106='Reference Data'!$H$2,1,-1)))</f>
        <v/>
      </c>
      <c r="P106" s="15"/>
      <c r="Q106" s="18"/>
      <c r="R106" s="20"/>
      <c r="S106" s="39" t="str">
        <f>IF($D106="","",IF($D106='Reference Data'!$A$11,"",IFERROR(IF(VLOOKUP($D106,'Reference Data'!$A$9:$C$11,3,FALSE)="",1,VLOOKUP($D106,'Reference Data'!$A$9:$C$11,3,FALSE)),1)))</f>
        <v/>
      </c>
      <c r="T106" s="40" t="str">
        <f>IF($D106="","",IFERROR(VLOOKUP($D106,'Reference Data'!$A$9:$B$11,2,FALSE),""))</f>
        <v/>
      </c>
      <c r="U106" s="15"/>
    </row>
    <row r="107" spans="1:21" ht="22.05" customHeight="1" x14ac:dyDescent="0.4">
      <c r="A107" s="43"/>
      <c r="B107" s="46"/>
      <c r="C107" s="12"/>
      <c r="D107" s="13"/>
      <c r="E107" s="14"/>
      <c r="F107" s="15" t="str">
        <f>IFERROR(INDEX('Reference Data'!$D$2:$D$6,MATCH($G107,'Reference Data'!$E$2:$E$6,0)),"")</f>
        <v/>
      </c>
      <c r="G107" s="21" t="str">
        <f>IF($D107="Scale",'Reference Data'!$H$2,"")</f>
        <v/>
      </c>
      <c r="H107" s="17" t="str">
        <f>IFERROR(INDEX('Reference Data'!$D$2:$D$6,MATCH($I107,'Reference Data'!$E$2:$E$6,0)),"")</f>
        <v/>
      </c>
      <c r="I107" s="21" t="str">
        <f>IF($G107="","",MEDIAN('Reference Data'!$H$1,'Reference Data'!$H$2,$G107+1*IF($G107='Reference Data'!$H$2,1,-1)))</f>
        <v/>
      </c>
      <c r="J107" s="17" t="str">
        <f>IFERROR(INDEX('Reference Data'!$D$2:$D$6,MATCH($K107,'Reference Data'!$E$2:$E$6,0)),"")</f>
        <v/>
      </c>
      <c r="K107" s="21" t="str">
        <f>IF($G107="","",MEDIAN('Reference Data'!$H$1,'Reference Data'!$H$2,$G107+2*IF($G107='Reference Data'!$H$2,1,-1)))</f>
        <v/>
      </c>
      <c r="L107" s="17" t="str">
        <f>IFERROR(INDEX('Reference Data'!$D$2:$D$6,MATCH($M107,'Reference Data'!$E$2:$E$6,0)),"")</f>
        <v/>
      </c>
      <c r="M107" s="21" t="str">
        <f>IF($G107="","",MEDIAN('Reference Data'!$H$1,'Reference Data'!$H$2,$G107+3*IF($G107='Reference Data'!$H$2,1,-1)))</f>
        <v/>
      </c>
      <c r="N107" s="18" t="str">
        <f>IFERROR(INDEX('Reference Data'!$D$2:$D$6,MATCH($O107,'Reference Data'!$E$2:$E$6,0)),"")</f>
        <v/>
      </c>
      <c r="O107" s="22" t="str">
        <f>IF($G107="","",MEDIAN('Reference Data'!$H$1,'Reference Data'!$H$2,$G107+4*IF($G107='Reference Data'!$H$2,1,-1)))</f>
        <v/>
      </c>
      <c r="P107" s="15"/>
      <c r="Q107" s="18"/>
      <c r="R107" s="20"/>
      <c r="S107" s="39" t="str">
        <f>IF($D107="","",IF($D107='Reference Data'!$A$11,"",IFERROR(IF(VLOOKUP($D107,'Reference Data'!$A$9:$C$11,3,FALSE)="",1,VLOOKUP($D107,'Reference Data'!$A$9:$C$11,3,FALSE)),1)))</f>
        <v/>
      </c>
      <c r="T107" s="40" t="str">
        <f>IF($D107="","",IFERROR(VLOOKUP($D107,'Reference Data'!$A$9:$B$11,2,FALSE),""))</f>
        <v/>
      </c>
      <c r="U107" s="15"/>
    </row>
    <row r="108" spans="1:21" ht="22.05" customHeight="1" x14ac:dyDescent="0.4">
      <c r="A108" s="43"/>
      <c r="B108" s="46"/>
      <c r="C108" s="12"/>
      <c r="D108" s="13"/>
      <c r="E108" s="14"/>
      <c r="F108" s="15" t="str">
        <f>IFERROR(INDEX('Reference Data'!$D$2:$D$6,MATCH($G108,'Reference Data'!$E$2:$E$6,0)),"")</f>
        <v/>
      </c>
      <c r="G108" s="21" t="str">
        <f>IF($D108="Scale",'Reference Data'!$H$2,"")</f>
        <v/>
      </c>
      <c r="H108" s="17" t="str">
        <f>IFERROR(INDEX('Reference Data'!$D$2:$D$6,MATCH($I108,'Reference Data'!$E$2:$E$6,0)),"")</f>
        <v/>
      </c>
      <c r="I108" s="21" t="str">
        <f>IF($G108="","",MEDIAN('Reference Data'!$H$1,'Reference Data'!$H$2,$G108+1*IF($G108='Reference Data'!$H$2,1,-1)))</f>
        <v/>
      </c>
      <c r="J108" s="17" t="str">
        <f>IFERROR(INDEX('Reference Data'!$D$2:$D$6,MATCH($K108,'Reference Data'!$E$2:$E$6,0)),"")</f>
        <v/>
      </c>
      <c r="K108" s="21" t="str">
        <f>IF($G108="","",MEDIAN('Reference Data'!$H$1,'Reference Data'!$H$2,$G108+2*IF($G108='Reference Data'!$H$2,1,-1)))</f>
        <v/>
      </c>
      <c r="L108" s="17" t="str">
        <f>IFERROR(INDEX('Reference Data'!$D$2:$D$6,MATCH($M108,'Reference Data'!$E$2:$E$6,0)),"")</f>
        <v/>
      </c>
      <c r="M108" s="21" t="str">
        <f>IF($G108="","",MEDIAN('Reference Data'!$H$1,'Reference Data'!$H$2,$G108+3*IF($G108='Reference Data'!$H$2,1,-1)))</f>
        <v/>
      </c>
      <c r="N108" s="18" t="str">
        <f>IFERROR(INDEX('Reference Data'!$D$2:$D$6,MATCH($O108,'Reference Data'!$E$2:$E$6,0)),"")</f>
        <v/>
      </c>
      <c r="O108" s="22" t="str">
        <f>IF($G108="","",MEDIAN('Reference Data'!$H$1,'Reference Data'!$H$2,$G108+4*IF($G108='Reference Data'!$H$2,1,-1)))</f>
        <v/>
      </c>
      <c r="P108" s="15"/>
      <c r="Q108" s="18"/>
      <c r="R108" s="20"/>
      <c r="S108" s="39" t="str">
        <f>IF($D108="","",IF($D108='Reference Data'!$A$11,"",IFERROR(IF(VLOOKUP($D108,'Reference Data'!$A$9:$C$11,3,FALSE)="",1,VLOOKUP($D108,'Reference Data'!$A$9:$C$11,3,FALSE)),1)))</f>
        <v/>
      </c>
      <c r="T108" s="40" t="str">
        <f>IF($D108="","",IFERROR(VLOOKUP($D108,'Reference Data'!$A$9:$B$11,2,FALSE),""))</f>
        <v/>
      </c>
      <c r="U108" s="15"/>
    </row>
    <row r="109" spans="1:21" ht="22.05" customHeight="1" x14ac:dyDescent="0.4">
      <c r="A109" s="43"/>
      <c r="B109" s="46"/>
      <c r="C109" s="12"/>
      <c r="D109" s="13"/>
      <c r="E109" s="14"/>
      <c r="F109" s="15" t="str">
        <f>IFERROR(INDEX('Reference Data'!$D$2:$D$6,MATCH($G109,'Reference Data'!$E$2:$E$6,0)),"")</f>
        <v/>
      </c>
      <c r="G109" s="21" t="str">
        <f>IF($D109="Scale",'Reference Data'!$H$2,"")</f>
        <v/>
      </c>
      <c r="H109" s="17" t="str">
        <f>IFERROR(INDEX('Reference Data'!$D$2:$D$6,MATCH($I109,'Reference Data'!$E$2:$E$6,0)),"")</f>
        <v/>
      </c>
      <c r="I109" s="21" t="str">
        <f>IF($G109="","",MEDIAN('Reference Data'!$H$1,'Reference Data'!$H$2,$G109+1*IF($G109='Reference Data'!$H$2,1,-1)))</f>
        <v/>
      </c>
      <c r="J109" s="17" t="str">
        <f>IFERROR(INDEX('Reference Data'!$D$2:$D$6,MATCH($K109,'Reference Data'!$E$2:$E$6,0)),"")</f>
        <v/>
      </c>
      <c r="K109" s="21" t="str">
        <f>IF($G109="","",MEDIAN('Reference Data'!$H$1,'Reference Data'!$H$2,$G109+2*IF($G109='Reference Data'!$H$2,1,-1)))</f>
        <v/>
      </c>
      <c r="L109" s="17" t="str">
        <f>IFERROR(INDEX('Reference Data'!$D$2:$D$6,MATCH($M109,'Reference Data'!$E$2:$E$6,0)),"")</f>
        <v/>
      </c>
      <c r="M109" s="21" t="str">
        <f>IF($G109="","",MEDIAN('Reference Data'!$H$1,'Reference Data'!$H$2,$G109+3*IF($G109='Reference Data'!$H$2,1,-1)))</f>
        <v/>
      </c>
      <c r="N109" s="18" t="str">
        <f>IFERROR(INDEX('Reference Data'!$D$2:$D$6,MATCH($O109,'Reference Data'!$E$2:$E$6,0)),"")</f>
        <v/>
      </c>
      <c r="O109" s="22" t="str">
        <f>IF($G109="","",MEDIAN('Reference Data'!$H$1,'Reference Data'!$H$2,$G109+4*IF($G109='Reference Data'!$H$2,1,-1)))</f>
        <v/>
      </c>
      <c r="P109" s="15"/>
      <c r="Q109" s="18"/>
      <c r="R109" s="20"/>
      <c r="S109" s="39" t="str">
        <f>IF($D109="","",IF($D109='Reference Data'!$A$11,"",IFERROR(IF(VLOOKUP($D109,'Reference Data'!$A$9:$C$11,3,FALSE)="",1,VLOOKUP($D109,'Reference Data'!$A$9:$C$11,3,FALSE)),1)))</f>
        <v/>
      </c>
      <c r="T109" s="40" t="str">
        <f>IF($D109="","",IFERROR(VLOOKUP($D109,'Reference Data'!$A$9:$B$11,2,FALSE),""))</f>
        <v/>
      </c>
      <c r="U109" s="15"/>
    </row>
    <row r="110" spans="1:21" ht="22.05" customHeight="1" x14ac:dyDescent="0.4">
      <c r="A110" s="43"/>
      <c r="B110" s="46"/>
      <c r="C110" s="12"/>
      <c r="D110" s="13"/>
      <c r="E110" s="14"/>
      <c r="F110" s="15" t="str">
        <f>IFERROR(INDEX('Reference Data'!$D$2:$D$6,MATCH($G110,'Reference Data'!$E$2:$E$6,0)),"")</f>
        <v/>
      </c>
      <c r="G110" s="21" t="str">
        <f>IF($D110="Scale",'Reference Data'!$H$2,"")</f>
        <v/>
      </c>
      <c r="H110" s="17" t="str">
        <f>IFERROR(INDEX('Reference Data'!$D$2:$D$6,MATCH($I110,'Reference Data'!$E$2:$E$6,0)),"")</f>
        <v/>
      </c>
      <c r="I110" s="21" t="str">
        <f>IF($G110="","",MEDIAN('Reference Data'!$H$1,'Reference Data'!$H$2,$G110+1*IF($G110='Reference Data'!$H$2,1,-1)))</f>
        <v/>
      </c>
      <c r="J110" s="17" t="str">
        <f>IFERROR(INDEX('Reference Data'!$D$2:$D$6,MATCH($K110,'Reference Data'!$E$2:$E$6,0)),"")</f>
        <v/>
      </c>
      <c r="K110" s="21" t="str">
        <f>IF($G110="","",MEDIAN('Reference Data'!$H$1,'Reference Data'!$H$2,$G110+2*IF($G110='Reference Data'!$H$2,1,-1)))</f>
        <v/>
      </c>
      <c r="L110" s="17" t="str">
        <f>IFERROR(INDEX('Reference Data'!$D$2:$D$6,MATCH($M110,'Reference Data'!$E$2:$E$6,0)),"")</f>
        <v/>
      </c>
      <c r="M110" s="21" t="str">
        <f>IF($G110="","",MEDIAN('Reference Data'!$H$1,'Reference Data'!$H$2,$G110+3*IF($G110='Reference Data'!$H$2,1,-1)))</f>
        <v/>
      </c>
      <c r="N110" s="18" t="str">
        <f>IFERROR(INDEX('Reference Data'!$D$2:$D$6,MATCH($O110,'Reference Data'!$E$2:$E$6,0)),"")</f>
        <v/>
      </c>
      <c r="O110" s="22" t="str">
        <f>IF($G110="","",MEDIAN('Reference Data'!$H$1,'Reference Data'!$H$2,$G110+4*IF($G110='Reference Data'!$H$2,1,-1)))</f>
        <v/>
      </c>
      <c r="P110" s="15"/>
      <c r="Q110" s="18"/>
      <c r="R110" s="20"/>
      <c r="S110" s="39" t="str">
        <f>IF($D110="","",IF($D110='Reference Data'!$A$11,"",IFERROR(IF(VLOOKUP($D110,'Reference Data'!$A$9:$C$11,3,FALSE)="",1,VLOOKUP($D110,'Reference Data'!$A$9:$C$11,3,FALSE)),1)))</f>
        <v/>
      </c>
      <c r="T110" s="40" t="str">
        <f>IF($D110="","",IFERROR(VLOOKUP($D110,'Reference Data'!$A$9:$B$11,2,FALSE),""))</f>
        <v/>
      </c>
      <c r="U110" s="15"/>
    </row>
    <row r="111" spans="1:21" ht="22.05" customHeight="1" x14ac:dyDescent="0.4">
      <c r="A111" s="43"/>
      <c r="B111" s="46"/>
      <c r="C111" s="12"/>
      <c r="D111" s="13"/>
      <c r="E111" s="14"/>
      <c r="F111" s="15" t="str">
        <f>IFERROR(INDEX('Reference Data'!$D$2:$D$6,MATCH($G111,'Reference Data'!$E$2:$E$6,0)),"")</f>
        <v/>
      </c>
      <c r="G111" s="21" t="str">
        <f>IF($D111="Scale",'Reference Data'!$H$2,"")</f>
        <v/>
      </c>
      <c r="H111" s="17" t="str">
        <f>IFERROR(INDEX('Reference Data'!$D$2:$D$6,MATCH($I111,'Reference Data'!$E$2:$E$6,0)),"")</f>
        <v/>
      </c>
      <c r="I111" s="21" t="str">
        <f>IF($G111="","",MEDIAN('Reference Data'!$H$1,'Reference Data'!$H$2,$G111+1*IF($G111='Reference Data'!$H$2,1,-1)))</f>
        <v/>
      </c>
      <c r="J111" s="17" t="str">
        <f>IFERROR(INDEX('Reference Data'!$D$2:$D$6,MATCH($K111,'Reference Data'!$E$2:$E$6,0)),"")</f>
        <v/>
      </c>
      <c r="K111" s="21" t="str">
        <f>IF($G111="","",MEDIAN('Reference Data'!$H$1,'Reference Data'!$H$2,$G111+2*IF($G111='Reference Data'!$H$2,1,-1)))</f>
        <v/>
      </c>
      <c r="L111" s="17" t="str">
        <f>IFERROR(INDEX('Reference Data'!$D$2:$D$6,MATCH($M111,'Reference Data'!$E$2:$E$6,0)),"")</f>
        <v/>
      </c>
      <c r="M111" s="21" t="str">
        <f>IF($G111="","",MEDIAN('Reference Data'!$H$1,'Reference Data'!$H$2,$G111+3*IF($G111='Reference Data'!$H$2,1,-1)))</f>
        <v/>
      </c>
      <c r="N111" s="18" t="str">
        <f>IFERROR(INDEX('Reference Data'!$D$2:$D$6,MATCH($O111,'Reference Data'!$E$2:$E$6,0)),"")</f>
        <v/>
      </c>
      <c r="O111" s="22" t="str">
        <f>IF($G111="","",MEDIAN('Reference Data'!$H$1,'Reference Data'!$H$2,$G111+4*IF($G111='Reference Data'!$H$2,1,-1)))</f>
        <v/>
      </c>
      <c r="P111" s="15"/>
      <c r="Q111" s="18"/>
      <c r="R111" s="20"/>
      <c r="S111" s="39" t="str">
        <f>IF($D111="","",IF($D111='Reference Data'!$A$11,"",IFERROR(IF(VLOOKUP($D111,'Reference Data'!$A$9:$C$11,3,FALSE)="",1,VLOOKUP($D111,'Reference Data'!$A$9:$C$11,3,FALSE)),1)))</f>
        <v/>
      </c>
      <c r="T111" s="40" t="str">
        <f>IF($D111="","",IFERROR(VLOOKUP($D111,'Reference Data'!$A$9:$B$11,2,FALSE),""))</f>
        <v/>
      </c>
      <c r="U111" s="15"/>
    </row>
    <row r="112" spans="1:21" ht="22.05" customHeight="1" x14ac:dyDescent="0.4">
      <c r="A112" s="43"/>
      <c r="B112" s="46"/>
      <c r="C112" s="12"/>
      <c r="D112" s="13"/>
      <c r="E112" s="14"/>
      <c r="F112" s="15" t="str">
        <f>IFERROR(INDEX('Reference Data'!$D$2:$D$6,MATCH($G112,'Reference Data'!$E$2:$E$6,0)),"")</f>
        <v/>
      </c>
      <c r="G112" s="21" t="str">
        <f>IF($D112="Scale",'Reference Data'!$H$2,"")</f>
        <v/>
      </c>
      <c r="H112" s="17" t="str">
        <f>IFERROR(INDEX('Reference Data'!$D$2:$D$6,MATCH($I112,'Reference Data'!$E$2:$E$6,0)),"")</f>
        <v/>
      </c>
      <c r="I112" s="21" t="str">
        <f>IF($G112="","",MEDIAN('Reference Data'!$H$1,'Reference Data'!$H$2,$G112+1*IF($G112='Reference Data'!$H$2,1,-1)))</f>
        <v/>
      </c>
      <c r="J112" s="17" t="str">
        <f>IFERROR(INDEX('Reference Data'!$D$2:$D$6,MATCH($K112,'Reference Data'!$E$2:$E$6,0)),"")</f>
        <v/>
      </c>
      <c r="K112" s="21" t="str">
        <f>IF($G112="","",MEDIAN('Reference Data'!$H$1,'Reference Data'!$H$2,$G112+2*IF($G112='Reference Data'!$H$2,1,-1)))</f>
        <v/>
      </c>
      <c r="L112" s="17" t="str">
        <f>IFERROR(INDEX('Reference Data'!$D$2:$D$6,MATCH($M112,'Reference Data'!$E$2:$E$6,0)),"")</f>
        <v/>
      </c>
      <c r="M112" s="21" t="str">
        <f>IF($G112="","",MEDIAN('Reference Data'!$H$1,'Reference Data'!$H$2,$G112+3*IF($G112='Reference Data'!$H$2,1,-1)))</f>
        <v/>
      </c>
      <c r="N112" s="18" t="str">
        <f>IFERROR(INDEX('Reference Data'!$D$2:$D$6,MATCH($O112,'Reference Data'!$E$2:$E$6,0)),"")</f>
        <v/>
      </c>
      <c r="O112" s="22" t="str">
        <f>IF($G112="","",MEDIAN('Reference Data'!$H$1,'Reference Data'!$H$2,$G112+4*IF($G112='Reference Data'!$H$2,1,-1)))</f>
        <v/>
      </c>
      <c r="P112" s="15"/>
      <c r="Q112" s="18"/>
      <c r="R112" s="20"/>
      <c r="S112" s="39" t="str">
        <f>IF($D112="","",IF($D112='Reference Data'!$A$11,"",IFERROR(IF(VLOOKUP($D112,'Reference Data'!$A$9:$C$11,3,FALSE)="",1,VLOOKUP($D112,'Reference Data'!$A$9:$C$11,3,FALSE)),1)))</f>
        <v/>
      </c>
      <c r="T112" s="40" t="str">
        <f>IF($D112="","",IFERROR(VLOOKUP($D112,'Reference Data'!$A$9:$B$11,2,FALSE),""))</f>
        <v/>
      </c>
      <c r="U112" s="15"/>
    </row>
    <row r="113" spans="1:21" ht="22.05" customHeight="1" x14ac:dyDescent="0.4">
      <c r="A113" s="43"/>
      <c r="B113" s="46"/>
      <c r="C113" s="12"/>
      <c r="D113" s="13"/>
      <c r="E113" s="14"/>
      <c r="F113" s="15" t="str">
        <f>IFERROR(INDEX('Reference Data'!$D$2:$D$6,MATCH($G113,'Reference Data'!$E$2:$E$6,0)),"")</f>
        <v/>
      </c>
      <c r="G113" s="21" t="str">
        <f>IF($D113="Scale",'Reference Data'!$H$2,"")</f>
        <v/>
      </c>
      <c r="H113" s="17" t="str">
        <f>IFERROR(INDEX('Reference Data'!$D$2:$D$6,MATCH($I113,'Reference Data'!$E$2:$E$6,0)),"")</f>
        <v/>
      </c>
      <c r="I113" s="21" t="str">
        <f>IF($G113="","",MEDIAN('Reference Data'!$H$1,'Reference Data'!$H$2,$G113+1*IF($G113='Reference Data'!$H$2,1,-1)))</f>
        <v/>
      </c>
      <c r="J113" s="17" t="str">
        <f>IFERROR(INDEX('Reference Data'!$D$2:$D$6,MATCH($K113,'Reference Data'!$E$2:$E$6,0)),"")</f>
        <v/>
      </c>
      <c r="K113" s="21" t="str">
        <f>IF($G113="","",MEDIAN('Reference Data'!$H$1,'Reference Data'!$H$2,$G113+2*IF($G113='Reference Data'!$H$2,1,-1)))</f>
        <v/>
      </c>
      <c r="L113" s="17" t="str">
        <f>IFERROR(INDEX('Reference Data'!$D$2:$D$6,MATCH($M113,'Reference Data'!$E$2:$E$6,0)),"")</f>
        <v/>
      </c>
      <c r="M113" s="21" t="str">
        <f>IF($G113="","",MEDIAN('Reference Data'!$H$1,'Reference Data'!$H$2,$G113+3*IF($G113='Reference Data'!$H$2,1,-1)))</f>
        <v/>
      </c>
      <c r="N113" s="18" t="str">
        <f>IFERROR(INDEX('Reference Data'!$D$2:$D$6,MATCH($O113,'Reference Data'!$E$2:$E$6,0)),"")</f>
        <v/>
      </c>
      <c r="O113" s="22" t="str">
        <f>IF($G113="","",MEDIAN('Reference Data'!$H$1,'Reference Data'!$H$2,$G113+4*IF($G113='Reference Data'!$H$2,1,-1)))</f>
        <v/>
      </c>
      <c r="P113" s="15"/>
      <c r="Q113" s="18"/>
      <c r="R113" s="20"/>
      <c r="S113" s="39" t="str">
        <f>IF($D113="","",IF($D113='Reference Data'!$A$11,"",IFERROR(IF(VLOOKUP($D113,'Reference Data'!$A$9:$C$11,3,FALSE)="",1,VLOOKUP($D113,'Reference Data'!$A$9:$C$11,3,FALSE)),1)))</f>
        <v/>
      </c>
      <c r="T113" s="40" t="str">
        <f>IF($D113="","",IFERROR(VLOOKUP($D113,'Reference Data'!$A$9:$B$11,2,FALSE),""))</f>
        <v/>
      </c>
      <c r="U113" s="15"/>
    </row>
    <row r="114" spans="1:21" ht="22.05" customHeight="1" x14ac:dyDescent="0.4">
      <c r="A114" s="43"/>
      <c r="B114" s="46"/>
      <c r="C114" s="12"/>
      <c r="D114" s="13"/>
      <c r="E114" s="14"/>
      <c r="F114" s="15" t="str">
        <f>IFERROR(INDEX('Reference Data'!$D$2:$D$6,MATCH($G114,'Reference Data'!$E$2:$E$6,0)),"")</f>
        <v/>
      </c>
      <c r="G114" s="21" t="str">
        <f>IF($D114="Scale",'Reference Data'!$H$2,"")</f>
        <v/>
      </c>
      <c r="H114" s="17" t="str">
        <f>IFERROR(INDEX('Reference Data'!$D$2:$D$6,MATCH($I114,'Reference Data'!$E$2:$E$6,0)),"")</f>
        <v/>
      </c>
      <c r="I114" s="21" t="str">
        <f>IF($G114="","",MEDIAN('Reference Data'!$H$1,'Reference Data'!$H$2,$G114+1*IF($G114='Reference Data'!$H$2,1,-1)))</f>
        <v/>
      </c>
      <c r="J114" s="17" t="str">
        <f>IFERROR(INDEX('Reference Data'!$D$2:$D$6,MATCH($K114,'Reference Data'!$E$2:$E$6,0)),"")</f>
        <v/>
      </c>
      <c r="K114" s="21" t="str">
        <f>IF($G114="","",MEDIAN('Reference Data'!$H$1,'Reference Data'!$H$2,$G114+2*IF($G114='Reference Data'!$H$2,1,-1)))</f>
        <v/>
      </c>
      <c r="L114" s="17" t="str">
        <f>IFERROR(INDEX('Reference Data'!$D$2:$D$6,MATCH($M114,'Reference Data'!$E$2:$E$6,0)),"")</f>
        <v/>
      </c>
      <c r="M114" s="21" t="str">
        <f>IF($G114="","",MEDIAN('Reference Data'!$H$1,'Reference Data'!$H$2,$G114+3*IF($G114='Reference Data'!$H$2,1,-1)))</f>
        <v/>
      </c>
      <c r="N114" s="18" t="str">
        <f>IFERROR(INDEX('Reference Data'!$D$2:$D$6,MATCH($O114,'Reference Data'!$E$2:$E$6,0)),"")</f>
        <v/>
      </c>
      <c r="O114" s="22" t="str">
        <f>IF($G114="","",MEDIAN('Reference Data'!$H$1,'Reference Data'!$H$2,$G114+4*IF($G114='Reference Data'!$H$2,1,-1)))</f>
        <v/>
      </c>
      <c r="P114" s="15"/>
      <c r="Q114" s="18"/>
      <c r="R114" s="20"/>
      <c r="S114" s="39" t="str">
        <f>IF($D114="","",IF($D114='Reference Data'!$A$11,"",IFERROR(IF(VLOOKUP($D114,'Reference Data'!$A$9:$C$11,3,FALSE)="",1,VLOOKUP($D114,'Reference Data'!$A$9:$C$11,3,FALSE)),1)))</f>
        <v/>
      </c>
      <c r="T114" s="40" t="str">
        <f>IF($D114="","",IFERROR(VLOOKUP($D114,'Reference Data'!$A$9:$B$11,2,FALSE),""))</f>
        <v/>
      </c>
      <c r="U114" s="15"/>
    </row>
    <row r="115" spans="1:21" ht="22.05" customHeight="1" x14ac:dyDescent="0.4">
      <c r="A115" s="43"/>
      <c r="B115" s="46"/>
      <c r="C115" s="12"/>
      <c r="D115" s="13"/>
      <c r="E115" s="14"/>
      <c r="F115" s="15" t="str">
        <f>IFERROR(INDEX('Reference Data'!$D$2:$D$6,MATCH($G115,'Reference Data'!$E$2:$E$6,0)),"")</f>
        <v/>
      </c>
      <c r="G115" s="21" t="str">
        <f>IF($D115="Scale",'Reference Data'!$H$2,"")</f>
        <v/>
      </c>
      <c r="H115" s="17" t="str">
        <f>IFERROR(INDEX('Reference Data'!$D$2:$D$6,MATCH($I115,'Reference Data'!$E$2:$E$6,0)),"")</f>
        <v/>
      </c>
      <c r="I115" s="21" t="str">
        <f>IF($G115="","",MEDIAN('Reference Data'!$H$1,'Reference Data'!$H$2,$G115+1*IF($G115='Reference Data'!$H$2,1,-1)))</f>
        <v/>
      </c>
      <c r="J115" s="17" t="str">
        <f>IFERROR(INDEX('Reference Data'!$D$2:$D$6,MATCH($K115,'Reference Data'!$E$2:$E$6,0)),"")</f>
        <v/>
      </c>
      <c r="K115" s="21" t="str">
        <f>IF($G115="","",MEDIAN('Reference Data'!$H$1,'Reference Data'!$H$2,$G115+2*IF($G115='Reference Data'!$H$2,1,-1)))</f>
        <v/>
      </c>
      <c r="L115" s="17" t="str">
        <f>IFERROR(INDEX('Reference Data'!$D$2:$D$6,MATCH($M115,'Reference Data'!$E$2:$E$6,0)),"")</f>
        <v/>
      </c>
      <c r="M115" s="21" t="str">
        <f>IF($G115="","",MEDIAN('Reference Data'!$H$1,'Reference Data'!$H$2,$G115+3*IF($G115='Reference Data'!$H$2,1,-1)))</f>
        <v/>
      </c>
      <c r="N115" s="18" t="str">
        <f>IFERROR(INDEX('Reference Data'!$D$2:$D$6,MATCH($O115,'Reference Data'!$E$2:$E$6,0)),"")</f>
        <v/>
      </c>
      <c r="O115" s="22" t="str">
        <f>IF($G115="","",MEDIAN('Reference Data'!$H$1,'Reference Data'!$H$2,$G115+4*IF($G115='Reference Data'!$H$2,1,-1)))</f>
        <v/>
      </c>
      <c r="P115" s="15"/>
      <c r="Q115" s="18"/>
      <c r="R115" s="20"/>
      <c r="S115" s="39" t="str">
        <f>IF($D115="","",IF($D115='Reference Data'!$A$11,"",IFERROR(IF(VLOOKUP($D115,'Reference Data'!$A$9:$C$11,3,FALSE)="",1,VLOOKUP($D115,'Reference Data'!$A$9:$C$11,3,FALSE)),1)))</f>
        <v/>
      </c>
      <c r="T115" s="40" t="str">
        <f>IF($D115="","",IFERROR(VLOOKUP($D115,'Reference Data'!$A$9:$B$11,2,FALSE),""))</f>
        <v/>
      </c>
      <c r="U115" s="15"/>
    </row>
    <row r="116" spans="1:21" ht="22.05" customHeight="1" x14ac:dyDescent="0.4">
      <c r="A116" s="43"/>
      <c r="B116" s="46"/>
      <c r="C116" s="12"/>
      <c r="D116" s="13"/>
      <c r="E116" s="14"/>
      <c r="F116" s="15" t="str">
        <f>IFERROR(INDEX('Reference Data'!$D$2:$D$6,MATCH($G116,'Reference Data'!$E$2:$E$6,0)),"")</f>
        <v/>
      </c>
      <c r="G116" s="21" t="str">
        <f>IF($D116="Scale",'Reference Data'!$H$2,"")</f>
        <v/>
      </c>
      <c r="H116" s="17" t="str">
        <f>IFERROR(INDEX('Reference Data'!$D$2:$D$6,MATCH($I116,'Reference Data'!$E$2:$E$6,0)),"")</f>
        <v/>
      </c>
      <c r="I116" s="21" t="str">
        <f>IF($G116="","",MEDIAN('Reference Data'!$H$1,'Reference Data'!$H$2,$G116+1*IF($G116='Reference Data'!$H$2,1,-1)))</f>
        <v/>
      </c>
      <c r="J116" s="17" t="str">
        <f>IFERROR(INDEX('Reference Data'!$D$2:$D$6,MATCH($K116,'Reference Data'!$E$2:$E$6,0)),"")</f>
        <v/>
      </c>
      <c r="K116" s="21" t="str">
        <f>IF($G116="","",MEDIAN('Reference Data'!$H$1,'Reference Data'!$H$2,$G116+2*IF($G116='Reference Data'!$H$2,1,-1)))</f>
        <v/>
      </c>
      <c r="L116" s="17" t="str">
        <f>IFERROR(INDEX('Reference Data'!$D$2:$D$6,MATCH($M116,'Reference Data'!$E$2:$E$6,0)),"")</f>
        <v/>
      </c>
      <c r="M116" s="21" t="str">
        <f>IF($G116="","",MEDIAN('Reference Data'!$H$1,'Reference Data'!$H$2,$G116+3*IF($G116='Reference Data'!$H$2,1,-1)))</f>
        <v/>
      </c>
      <c r="N116" s="18" t="str">
        <f>IFERROR(INDEX('Reference Data'!$D$2:$D$6,MATCH($O116,'Reference Data'!$E$2:$E$6,0)),"")</f>
        <v/>
      </c>
      <c r="O116" s="22" t="str">
        <f>IF($G116="","",MEDIAN('Reference Data'!$H$1,'Reference Data'!$H$2,$G116+4*IF($G116='Reference Data'!$H$2,1,-1)))</f>
        <v/>
      </c>
      <c r="P116" s="15"/>
      <c r="Q116" s="18"/>
      <c r="R116" s="20"/>
      <c r="S116" s="39" t="str">
        <f>IF($D116="","",IF($D116='Reference Data'!$A$11,"",IFERROR(IF(VLOOKUP($D116,'Reference Data'!$A$9:$C$11,3,FALSE)="",1,VLOOKUP($D116,'Reference Data'!$A$9:$C$11,3,FALSE)),1)))</f>
        <v/>
      </c>
      <c r="T116" s="40" t="str">
        <f>IF($D116="","",IFERROR(VLOOKUP($D116,'Reference Data'!$A$9:$B$11,2,FALSE),""))</f>
        <v/>
      </c>
      <c r="U116" s="15"/>
    </row>
    <row r="117" spans="1:21" ht="22.05" customHeight="1" x14ac:dyDescent="0.4">
      <c r="A117" s="43"/>
      <c r="B117" s="46"/>
      <c r="C117" s="12"/>
      <c r="D117" s="13"/>
      <c r="E117" s="14"/>
      <c r="F117" s="15" t="str">
        <f>IFERROR(INDEX('Reference Data'!$D$2:$D$6,MATCH($G117,'Reference Data'!$E$2:$E$6,0)),"")</f>
        <v/>
      </c>
      <c r="G117" s="21" t="str">
        <f>IF($D117="Scale",'Reference Data'!$H$2,"")</f>
        <v/>
      </c>
      <c r="H117" s="17" t="str">
        <f>IFERROR(INDEX('Reference Data'!$D$2:$D$6,MATCH($I117,'Reference Data'!$E$2:$E$6,0)),"")</f>
        <v/>
      </c>
      <c r="I117" s="21" t="str">
        <f>IF($G117="","",MEDIAN('Reference Data'!$H$1,'Reference Data'!$H$2,$G117+1*IF($G117='Reference Data'!$H$2,1,-1)))</f>
        <v/>
      </c>
      <c r="J117" s="17" t="str">
        <f>IFERROR(INDEX('Reference Data'!$D$2:$D$6,MATCH($K117,'Reference Data'!$E$2:$E$6,0)),"")</f>
        <v/>
      </c>
      <c r="K117" s="21" t="str">
        <f>IF($G117="","",MEDIAN('Reference Data'!$H$1,'Reference Data'!$H$2,$G117+2*IF($G117='Reference Data'!$H$2,1,-1)))</f>
        <v/>
      </c>
      <c r="L117" s="17" t="str">
        <f>IFERROR(INDEX('Reference Data'!$D$2:$D$6,MATCH($M117,'Reference Data'!$E$2:$E$6,0)),"")</f>
        <v/>
      </c>
      <c r="M117" s="21" t="str">
        <f>IF($G117="","",MEDIAN('Reference Data'!$H$1,'Reference Data'!$H$2,$G117+3*IF($G117='Reference Data'!$H$2,1,-1)))</f>
        <v/>
      </c>
      <c r="N117" s="18" t="str">
        <f>IFERROR(INDEX('Reference Data'!$D$2:$D$6,MATCH($O117,'Reference Data'!$E$2:$E$6,0)),"")</f>
        <v/>
      </c>
      <c r="O117" s="22" t="str">
        <f>IF($G117="","",MEDIAN('Reference Data'!$H$1,'Reference Data'!$H$2,$G117+4*IF($G117='Reference Data'!$H$2,1,-1)))</f>
        <v/>
      </c>
      <c r="P117" s="15"/>
      <c r="Q117" s="18"/>
      <c r="R117" s="20"/>
      <c r="S117" s="39" t="str">
        <f>IF($D117="","",IF($D117='Reference Data'!$A$11,"",IFERROR(IF(VLOOKUP($D117,'Reference Data'!$A$9:$C$11,3,FALSE)="",1,VLOOKUP($D117,'Reference Data'!$A$9:$C$11,3,FALSE)),1)))</f>
        <v/>
      </c>
      <c r="T117" s="40" t="str">
        <f>IF($D117="","",IFERROR(VLOOKUP($D117,'Reference Data'!$A$9:$B$11,2,FALSE),""))</f>
        <v/>
      </c>
      <c r="U117" s="15"/>
    </row>
    <row r="118" spans="1:21" ht="22.05" customHeight="1" x14ac:dyDescent="0.4">
      <c r="A118" s="43"/>
      <c r="B118" s="46"/>
      <c r="C118" s="12"/>
      <c r="D118" s="13"/>
      <c r="E118" s="14"/>
      <c r="F118" s="15" t="str">
        <f>IFERROR(INDEX('Reference Data'!$D$2:$D$6,MATCH($G118,'Reference Data'!$E$2:$E$6,0)),"")</f>
        <v/>
      </c>
      <c r="G118" s="21" t="str">
        <f>IF($D118="Scale",'Reference Data'!$H$2,"")</f>
        <v/>
      </c>
      <c r="H118" s="17" t="str">
        <f>IFERROR(INDEX('Reference Data'!$D$2:$D$6,MATCH($I118,'Reference Data'!$E$2:$E$6,0)),"")</f>
        <v/>
      </c>
      <c r="I118" s="21" t="str">
        <f>IF($G118="","",MEDIAN('Reference Data'!$H$1,'Reference Data'!$H$2,$G118+1*IF($G118='Reference Data'!$H$2,1,-1)))</f>
        <v/>
      </c>
      <c r="J118" s="17" t="str">
        <f>IFERROR(INDEX('Reference Data'!$D$2:$D$6,MATCH($K118,'Reference Data'!$E$2:$E$6,0)),"")</f>
        <v/>
      </c>
      <c r="K118" s="21" t="str">
        <f>IF($G118="","",MEDIAN('Reference Data'!$H$1,'Reference Data'!$H$2,$G118+2*IF($G118='Reference Data'!$H$2,1,-1)))</f>
        <v/>
      </c>
      <c r="L118" s="17" t="str">
        <f>IFERROR(INDEX('Reference Data'!$D$2:$D$6,MATCH($M118,'Reference Data'!$E$2:$E$6,0)),"")</f>
        <v/>
      </c>
      <c r="M118" s="21" t="str">
        <f>IF($G118="","",MEDIAN('Reference Data'!$H$1,'Reference Data'!$H$2,$G118+3*IF($G118='Reference Data'!$H$2,1,-1)))</f>
        <v/>
      </c>
      <c r="N118" s="18" t="str">
        <f>IFERROR(INDEX('Reference Data'!$D$2:$D$6,MATCH($O118,'Reference Data'!$E$2:$E$6,0)),"")</f>
        <v/>
      </c>
      <c r="O118" s="22" t="str">
        <f>IF($G118="","",MEDIAN('Reference Data'!$H$1,'Reference Data'!$H$2,$G118+4*IF($G118='Reference Data'!$H$2,1,-1)))</f>
        <v/>
      </c>
      <c r="P118" s="15"/>
      <c r="Q118" s="18"/>
      <c r="R118" s="20"/>
      <c r="S118" s="39" t="str">
        <f>IF($D118="","",IF($D118='Reference Data'!$A$11,"",IFERROR(IF(VLOOKUP($D118,'Reference Data'!$A$9:$C$11,3,FALSE)="",1,VLOOKUP($D118,'Reference Data'!$A$9:$C$11,3,FALSE)),1)))</f>
        <v/>
      </c>
      <c r="T118" s="40" t="str">
        <f>IF($D118="","",IFERROR(VLOOKUP($D118,'Reference Data'!$A$9:$B$11,2,FALSE),""))</f>
        <v/>
      </c>
      <c r="U118" s="15"/>
    </row>
    <row r="119" spans="1:21" ht="22.05" customHeight="1" x14ac:dyDescent="0.4">
      <c r="A119" s="43"/>
      <c r="B119" s="46"/>
      <c r="C119" s="12"/>
      <c r="D119" s="13"/>
      <c r="E119" s="14"/>
      <c r="F119" s="15" t="str">
        <f>IFERROR(INDEX('Reference Data'!$D$2:$D$6,MATCH($G119,'Reference Data'!$E$2:$E$6,0)),"")</f>
        <v/>
      </c>
      <c r="G119" s="21" t="str">
        <f>IF($D119="Scale",'Reference Data'!$H$2,"")</f>
        <v/>
      </c>
      <c r="H119" s="17" t="str">
        <f>IFERROR(INDEX('Reference Data'!$D$2:$D$6,MATCH($I119,'Reference Data'!$E$2:$E$6,0)),"")</f>
        <v/>
      </c>
      <c r="I119" s="21" t="str">
        <f>IF($G119="","",MEDIAN('Reference Data'!$H$1,'Reference Data'!$H$2,$G119+1*IF($G119='Reference Data'!$H$2,1,-1)))</f>
        <v/>
      </c>
      <c r="J119" s="17" t="str">
        <f>IFERROR(INDEX('Reference Data'!$D$2:$D$6,MATCH($K119,'Reference Data'!$E$2:$E$6,0)),"")</f>
        <v/>
      </c>
      <c r="K119" s="21" t="str">
        <f>IF($G119="","",MEDIAN('Reference Data'!$H$1,'Reference Data'!$H$2,$G119+2*IF($G119='Reference Data'!$H$2,1,-1)))</f>
        <v/>
      </c>
      <c r="L119" s="17" t="str">
        <f>IFERROR(INDEX('Reference Data'!$D$2:$D$6,MATCH($M119,'Reference Data'!$E$2:$E$6,0)),"")</f>
        <v/>
      </c>
      <c r="M119" s="21" t="str">
        <f>IF($G119="","",MEDIAN('Reference Data'!$H$1,'Reference Data'!$H$2,$G119+3*IF($G119='Reference Data'!$H$2,1,-1)))</f>
        <v/>
      </c>
      <c r="N119" s="18" t="str">
        <f>IFERROR(INDEX('Reference Data'!$D$2:$D$6,MATCH($O119,'Reference Data'!$E$2:$E$6,0)),"")</f>
        <v/>
      </c>
      <c r="O119" s="22" t="str">
        <f>IF($G119="","",MEDIAN('Reference Data'!$H$1,'Reference Data'!$H$2,$G119+4*IF($G119='Reference Data'!$H$2,1,-1)))</f>
        <v/>
      </c>
      <c r="P119" s="15"/>
      <c r="Q119" s="18"/>
      <c r="R119" s="20"/>
      <c r="S119" s="39" t="str">
        <f>IF($D119="","",IF($D119='Reference Data'!$A$11,"",IFERROR(IF(VLOOKUP($D119,'Reference Data'!$A$9:$C$11,3,FALSE)="",1,VLOOKUP($D119,'Reference Data'!$A$9:$C$11,3,FALSE)),1)))</f>
        <v/>
      </c>
      <c r="T119" s="40" t="str">
        <f>IF($D119="","",IFERROR(VLOOKUP($D119,'Reference Data'!$A$9:$B$11,2,FALSE),""))</f>
        <v/>
      </c>
      <c r="U119" s="15"/>
    </row>
    <row r="120" spans="1:21" ht="22.05" customHeight="1" x14ac:dyDescent="0.4">
      <c r="A120" s="43"/>
      <c r="B120" s="46"/>
      <c r="C120" s="12"/>
      <c r="D120" s="13"/>
      <c r="E120" s="14"/>
      <c r="F120" s="15" t="str">
        <f>IFERROR(INDEX('Reference Data'!$D$2:$D$6,MATCH($G120,'Reference Data'!$E$2:$E$6,0)),"")</f>
        <v/>
      </c>
      <c r="G120" s="21" t="str">
        <f>IF($D120="Scale",'Reference Data'!$H$2,"")</f>
        <v/>
      </c>
      <c r="H120" s="17" t="str">
        <f>IFERROR(INDEX('Reference Data'!$D$2:$D$6,MATCH($I120,'Reference Data'!$E$2:$E$6,0)),"")</f>
        <v/>
      </c>
      <c r="I120" s="21" t="str">
        <f>IF($G120="","",MEDIAN('Reference Data'!$H$1,'Reference Data'!$H$2,$G120+1*IF($G120='Reference Data'!$H$2,1,-1)))</f>
        <v/>
      </c>
      <c r="J120" s="17" t="str">
        <f>IFERROR(INDEX('Reference Data'!$D$2:$D$6,MATCH($K120,'Reference Data'!$E$2:$E$6,0)),"")</f>
        <v/>
      </c>
      <c r="K120" s="21" t="str">
        <f>IF($G120="","",MEDIAN('Reference Data'!$H$1,'Reference Data'!$H$2,$G120+2*IF($G120='Reference Data'!$H$2,1,-1)))</f>
        <v/>
      </c>
      <c r="L120" s="17" t="str">
        <f>IFERROR(INDEX('Reference Data'!$D$2:$D$6,MATCH($M120,'Reference Data'!$E$2:$E$6,0)),"")</f>
        <v/>
      </c>
      <c r="M120" s="21" t="str">
        <f>IF($G120="","",MEDIAN('Reference Data'!$H$1,'Reference Data'!$H$2,$G120+3*IF($G120='Reference Data'!$H$2,1,-1)))</f>
        <v/>
      </c>
      <c r="N120" s="18" t="str">
        <f>IFERROR(INDEX('Reference Data'!$D$2:$D$6,MATCH($O120,'Reference Data'!$E$2:$E$6,0)),"")</f>
        <v/>
      </c>
      <c r="O120" s="22" t="str">
        <f>IF($G120="","",MEDIAN('Reference Data'!$H$1,'Reference Data'!$H$2,$G120+4*IF($G120='Reference Data'!$H$2,1,-1)))</f>
        <v/>
      </c>
      <c r="P120" s="15"/>
      <c r="Q120" s="18"/>
      <c r="R120" s="20"/>
      <c r="S120" s="39" t="str">
        <f>IF($D120="","",IF($D120='Reference Data'!$A$11,"",IFERROR(IF(VLOOKUP($D120,'Reference Data'!$A$9:$C$11,3,FALSE)="",1,VLOOKUP($D120,'Reference Data'!$A$9:$C$11,3,FALSE)),1)))</f>
        <v/>
      </c>
      <c r="T120" s="40" t="str">
        <f>IF($D120="","",IFERROR(VLOOKUP($D120,'Reference Data'!$A$9:$B$11,2,FALSE),""))</f>
        <v/>
      </c>
      <c r="U120" s="15"/>
    </row>
    <row r="121" spans="1:21" ht="22.05" customHeight="1" x14ac:dyDescent="0.4">
      <c r="A121" s="43"/>
      <c r="B121" s="46"/>
      <c r="C121" s="12"/>
      <c r="D121" s="13"/>
      <c r="E121" s="14"/>
      <c r="F121" s="15" t="str">
        <f>IFERROR(INDEX('Reference Data'!$D$2:$D$6,MATCH($G121,'Reference Data'!$E$2:$E$6,0)),"")</f>
        <v/>
      </c>
      <c r="G121" s="21" t="str">
        <f>IF($D121="Scale",'Reference Data'!$H$2,"")</f>
        <v/>
      </c>
      <c r="H121" s="17" t="str">
        <f>IFERROR(INDEX('Reference Data'!$D$2:$D$6,MATCH($I121,'Reference Data'!$E$2:$E$6,0)),"")</f>
        <v/>
      </c>
      <c r="I121" s="21" t="str">
        <f>IF($G121="","",MEDIAN('Reference Data'!$H$1,'Reference Data'!$H$2,$G121+1*IF($G121='Reference Data'!$H$2,1,-1)))</f>
        <v/>
      </c>
      <c r="J121" s="17" t="str">
        <f>IFERROR(INDEX('Reference Data'!$D$2:$D$6,MATCH($K121,'Reference Data'!$E$2:$E$6,0)),"")</f>
        <v/>
      </c>
      <c r="K121" s="21" t="str">
        <f>IF($G121="","",MEDIAN('Reference Data'!$H$1,'Reference Data'!$H$2,$G121+2*IF($G121='Reference Data'!$H$2,1,-1)))</f>
        <v/>
      </c>
      <c r="L121" s="17" t="str">
        <f>IFERROR(INDEX('Reference Data'!$D$2:$D$6,MATCH($M121,'Reference Data'!$E$2:$E$6,0)),"")</f>
        <v/>
      </c>
      <c r="M121" s="21" t="str">
        <f>IF($G121="","",MEDIAN('Reference Data'!$H$1,'Reference Data'!$H$2,$G121+3*IF($G121='Reference Data'!$H$2,1,-1)))</f>
        <v/>
      </c>
      <c r="N121" s="18" t="str">
        <f>IFERROR(INDEX('Reference Data'!$D$2:$D$6,MATCH($O121,'Reference Data'!$E$2:$E$6,0)),"")</f>
        <v/>
      </c>
      <c r="O121" s="22" t="str">
        <f>IF($G121="","",MEDIAN('Reference Data'!$H$1,'Reference Data'!$H$2,$G121+4*IF($G121='Reference Data'!$H$2,1,-1)))</f>
        <v/>
      </c>
      <c r="P121" s="15"/>
      <c r="Q121" s="18"/>
      <c r="R121" s="20"/>
      <c r="S121" s="39" t="str">
        <f>IF($D121="","",IF($D121='Reference Data'!$A$11,"",IFERROR(IF(VLOOKUP($D121,'Reference Data'!$A$9:$C$11,3,FALSE)="",1,VLOOKUP($D121,'Reference Data'!$A$9:$C$11,3,FALSE)),1)))</f>
        <v/>
      </c>
      <c r="T121" s="40" t="str">
        <f>IF($D121="","",IFERROR(VLOOKUP($D121,'Reference Data'!$A$9:$B$11,2,FALSE),""))</f>
        <v/>
      </c>
      <c r="U121" s="15"/>
    </row>
    <row r="122" spans="1:21" ht="22.05" customHeight="1" x14ac:dyDescent="0.4">
      <c r="A122" s="43"/>
      <c r="B122" s="46"/>
      <c r="C122" s="12"/>
      <c r="D122" s="13"/>
      <c r="E122" s="14"/>
      <c r="F122" s="15" t="str">
        <f>IFERROR(INDEX('Reference Data'!$D$2:$D$6,MATCH($G122,'Reference Data'!$E$2:$E$6,0)),"")</f>
        <v/>
      </c>
      <c r="G122" s="21" t="str">
        <f>IF($D122="Scale",'Reference Data'!$H$2,"")</f>
        <v/>
      </c>
      <c r="H122" s="17" t="str">
        <f>IFERROR(INDEX('Reference Data'!$D$2:$D$6,MATCH($I122,'Reference Data'!$E$2:$E$6,0)),"")</f>
        <v/>
      </c>
      <c r="I122" s="21" t="str">
        <f>IF($G122="","",MEDIAN('Reference Data'!$H$1,'Reference Data'!$H$2,$G122+1*IF($G122='Reference Data'!$H$2,1,-1)))</f>
        <v/>
      </c>
      <c r="J122" s="17" t="str">
        <f>IFERROR(INDEX('Reference Data'!$D$2:$D$6,MATCH($K122,'Reference Data'!$E$2:$E$6,0)),"")</f>
        <v/>
      </c>
      <c r="K122" s="21" t="str">
        <f>IF($G122="","",MEDIAN('Reference Data'!$H$1,'Reference Data'!$H$2,$G122+2*IF($G122='Reference Data'!$H$2,1,-1)))</f>
        <v/>
      </c>
      <c r="L122" s="17" t="str">
        <f>IFERROR(INDEX('Reference Data'!$D$2:$D$6,MATCH($M122,'Reference Data'!$E$2:$E$6,0)),"")</f>
        <v/>
      </c>
      <c r="M122" s="21" t="str">
        <f>IF($G122="","",MEDIAN('Reference Data'!$H$1,'Reference Data'!$H$2,$G122+3*IF($G122='Reference Data'!$H$2,1,-1)))</f>
        <v/>
      </c>
      <c r="N122" s="18" t="str">
        <f>IFERROR(INDEX('Reference Data'!$D$2:$D$6,MATCH($O122,'Reference Data'!$E$2:$E$6,0)),"")</f>
        <v/>
      </c>
      <c r="O122" s="22" t="str">
        <f>IF($G122="","",MEDIAN('Reference Data'!$H$1,'Reference Data'!$H$2,$G122+4*IF($G122='Reference Data'!$H$2,1,-1)))</f>
        <v/>
      </c>
      <c r="P122" s="15"/>
      <c r="Q122" s="18"/>
      <c r="R122" s="20"/>
      <c r="S122" s="39" t="str">
        <f>IF($D122="","",IF($D122='Reference Data'!$A$11,"",IFERROR(IF(VLOOKUP($D122,'Reference Data'!$A$9:$C$11,3,FALSE)="",1,VLOOKUP($D122,'Reference Data'!$A$9:$C$11,3,FALSE)),1)))</f>
        <v/>
      </c>
      <c r="T122" s="40" t="str">
        <f>IF($D122="","",IFERROR(VLOOKUP($D122,'Reference Data'!$A$9:$B$11,2,FALSE),""))</f>
        <v/>
      </c>
      <c r="U122" s="15"/>
    </row>
    <row r="123" spans="1:21" ht="22.05" customHeight="1" x14ac:dyDescent="0.4">
      <c r="A123" s="43"/>
      <c r="B123" s="46"/>
      <c r="C123" s="12"/>
      <c r="D123" s="13"/>
      <c r="E123" s="14"/>
      <c r="F123" s="15" t="str">
        <f>IFERROR(INDEX('Reference Data'!$D$2:$D$6,MATCH($G123,'Reference Data'!$E$2:$E$6,0)),"")</f>
        <v/>
      </c>
      <c r="G123" s="21" t="str">
        <f>IF($D123="Scale",'Reference Data'!$H$2,"")</f>
        <v/>
      </c>
      <c r="H123" s="17" t="str">
        <f>IFERROR(INDEX('Reference Data'!$D$2:$D$6,MATCH($I123,'Reference Data'!$E$2:$E$6,0)),"")</f>
        <v/>
      </c>
      <c r="I123" s="21" t="str">
        <f>IF($G123="","",MEDIAN('Reference Data'!$H$1,'Reference Data'!$H$2,$G123+1*IF($G123='Reference Data'!$H$2,1,-1)))</f>
        <v/>
      </c>
      <c r="J123" s="17" t="str">
        <f>IFERROR(INDEX('Reference Data'!$D$2:$D$6,MATCH($K123,'Reference Data'!$E$2:$E$6,0)),"")</f>
        <v/>
      </c>
      <c r="K123" s="21" t="str">
        <f>IF($G123="","",MEDIAN('Reference Data'!$H$1,'Reference Data'!$H$2,$G123+2*IF($G123='Reference Data'!$H$2,1,-1)))</f>
        <v/>
      </c>
      <c r="L123" s="17" t="str">
        <f>IFERROR(INDEX('Reference Data'!$D$2:$D$6,MATCH($M123,'Reference Data'!$E$2:$E$6,0)),"")</f>
        <v/>
      </c>
      <c r="M123" s="21" t="str">
        <f>IF($G123="","",MEDIAN('Reference Data'!$H$1,'Reference Data'!$H$2,$G123+3*IF($G123='Reference Data'!$H$2,1,-1)))</f>
        <v/>
      </c>
      <c r="N123" s="18" t="str">
        <f>IFERROR(INDEX('Reference Data'!$D$2:$D$6,MATCH($O123,'Reference Data'!$E$2:$E$6,0)),"")</f>
        <v/>
      </c>
      <c r="O123" s="22" t="str">
        <f>IF($G123="","",MEDIAN('Reference Data'!$H$1,'Reference Data'!$H$2,$G123+4*IF($G123='Reference Data'!$H$2,1,-1)))</f>
        <v/>
      </c>
      <c r="P123" s="15"/>
      <c r="Q123" s="18"/>
      <c r="R123" s="20"/>
      <c r="S123" s="39" t="str">
        <f>IF($D123="","",IF($D123='Reference Data'!$A$11,"",IFERROR(IF(VLOOKUP($D123,'Reference Data'!$A$9:$C$11,3,FALSE)="",1,VLOOKUP($D123,'Reference Data'!$A$9:$C$11,3,FALSE)),1)))</f>
        <v/>
      </c>
      <c r="T123" s="40" t="str">
        <f>IF($D123="","",IFERROR(VLOOKUP($D123,'Reference Data'!$A$9:$B$11,2,FALSE),""))</f>
        <v/>
      </c>
      <c r="U123" s="15"/>
    </row>
    <row r="124" spans="1:21" ht="22.05" customHeight="1" x14ac:dyDescent="0.4">
      <c r="A124" s="43"/>
      <c r="B124" s="46"/>
      <c r="C124" s="12"/>
      <c r="D124" s="13"/>
      <c r="E124" s="14"/>
      <c r="F124" s="15" t="str">
        <f>IFERROR(INDEX('Reference Data'!$D$2:$D$6,MATCH($G124,'Reference Data'!$E$2:$E$6,0)),"")</f>
        <v/>
      </c>
      <c r="G124" s="21" t="str">
        <f>IF($D124="Scale",'Reference Data'!$H$2,"")</f>
        <v/>
      </c>
      <c r="H124" s="17" t="str">
        <f>IFERROR(INDEX('Reference Data'!$D$2:$D$6,MATCH($I124,'Reference Data'!$E$2:$E$6,0)),"")</f>
        <v/>
      </c>
      <c r="I124" s="21" t="str">
        <f>IF($G124="","",MEDIAN('Reference Data'!$H$1,'Reference Data'!$H$2,$G124+1*IF($G124='Reference Data'!$H$2,1,-1)))</f>
        <v/>
      </c>
      <c r="J124" s="17" t="str">
        <f>IFERROR(INDEX('Reference Data'!$D$2:$D$6,MATCH($K124,'Reference Data'!$E$2:$E$6,0)),"")</f>
        <v/>
      </c>
      <c r="K124" s="21" t="str">
        <f>IF($G124="","",MEDIAN('Reference Data'!$H$1,'Reference Data'!$H$2,$G124+2*IF($G124='Reference Data'!$H$2,1,-1)))</f>
        <v/>
      </c>
      <c r="L124" s="17" t="str">
        <f>IFERROR(INDEX('Reference Data'!$D$2:$D$6,MATCH($M124,'Reference Data'!$E$2:$E$6,0)),"")</f>
        <v/>
      </c>
      <c r="M124" s="21" t="str">
        <f>IF($G124="","",MEDIAN('Reference Data'!$H$1,'Reference Data'!$H$2,$G124+3*IF($G124='Reference Data'!$H$2,1,-1)))</f>
        <v/>
      </c>
      <c r="N124" s="18" t="str">
        <f>IFERROR(INDEX('Reference Data'!$D$2:$D$6,MATCH($O124,'Reference Data'!$E$2:$E$6,0)),"")</f>
        <v/>
      </c>
      <c r="O124" s="22" t="str">
        <f>IF($G124="","",MEDIAN('Reference Data'!$H$1,'Reference Data'!$H$2,$G124+4*IF($G124='Reference Data'!$H$2,1,-1)))</f>
        <v/>
      </c>
      <c r="P124" s="15"/>
      <c r="Q124" s="18"/>
      <c r="R124" s="20"/>
      <c r="S124" s="39" t="str">
        <f>IF($D124="","",IF($D124='Reference Data'!$A$11,"",IFERROR(IF(VLOOKUP($D124,'Reference Data'!$A$9:$C$11,3,FALSE)="",1,VLOOKUP($D124,'Reference Data'!$A$9:$C$11,3,FALSE)),1)))</f>
        <v/>
      </c>
      <c r="T124" s="40" t="str">
        <f>IF($D124="","",IFERROR(VLOOKUP($D124,'Reference Data'!$A$9:$B$11,2,FALSE),""))</f>
        <v/>
      </c>
      <c r="U124" s="15"/>
    </row>
    <row r="125" spans="1:21" ht="22.05" customHeight="1" x14ac:dyDescent="0.4">
      <c r="A125" s="43"/>
      <c r="B125" s="46"/>
      <c r="C125" s="12"/>
      <c r="D125" s="13"/>
      <c r="E125" s="14"/>
      <c r="F125" s="15" t="str">
        <f>IFERROR(INDEX('Reference Data'!$D$2:$D$6,MATCH($G125,'Reference Data'!$E$2:$E$6,0)),"")</f>
        <v/>
      </c>
      <c r="G125" s="21" t="str">
        <f>IF($D125="Scale",'Reference Data'!$H$2,"")</f>
        <v/>
      </c>
      <c r="H125" s="17" t="str">
        <f>IFERROR(INDEX('Reference Data'!$D$2:$D$6,MATCH($I125,'Reference Data'!$E$2:$E$6,0)),"")</f>
        <v/>
      </c>
      <c r="I125" s="21" t="str">
        <f>IF($G125="","",MEDIAN('Reference Data'!$H$1,'Reference Data'!$H$2,$G125+1*IF($G125='Reference Data'!$H$2,1,-1)))</f>
        <v/>
      </c>
      <c r="J125" s="17" t="str">
        <f>IFERROR(INDEX('Reference Data'!$D$2:$D$6,MATCH($K125,'Reference Data'!$E$2:$E$6,0)),"")</f>
        <v/>
      </c>
      <c r="K125" s="21" t="str">
        <f>IF($G125="","",MEDIAN('Reference Data'!$H$1,'Reference Data'!$H$2,$G125+2*IF($G125='Reference Data'!$H$2,1,-1)))</f>
        <v/>
      </c>
      <c r="L125" s="17" t="str">
        <f>IFERROR(INDEX('Reference Data'!$D$2:$D$6,MATCH($M125,'Reference Data'!$E$2:$E$6,0)),"")</f>
        <v/>
      </c>
      <c r="M125" s="21" t="str">
        <f>IF($G125="","",MEDIAN('Reference Data'!$H$1,'Reference Data'!$H$2,$G125+3*IF($G125='Reference Data'!$H$2,1,-1)))</f>
        <v/>
      </c>
      <c r="N125" s="18" t="str">
        <f>IFERROR(INDEX('Reference Data'!$D$2:$D$6,MATCH($O125,'Reference Data'!$E$2:$E$6,0)),"")</f>
        <v/>
      </c>
      <c r="O125" s="22" t="str">
        <f>IF($G125="","",MEDIAN('Reference Data'!$H$1,'Reference Data'!$H$2,$G125+4*IF($G125='Reference Data'!$H$2,1,-1)))</f>
        <v/>
      </c>
      <c r="P125" s="15"/>
      <c r="Q125" s="18"/>
      <c r="R125" s="20"/>
      <c r="S125" s="39" t="str">
        <f>IF($D125="","",IF($D125='Reference Data'!$A$11,"",IFERROR(IF(VLOOKUP($D125,'Reference Data'!$A$9:$C$11,3,FALSE)="",1,VLOOKUP($D125,'Reference Data'!$A$9:$C$11,3,FALSE)),1)))</f>
        <v/>
      </c>
      <c r="T125" s="40" t="str">
        <f>IF($D125="","",IFERROR(VLOOKUP($D125,'Reference Data'!$A$9:$B$11,2,FALSE),""))</f>
        <v/>
      </c>
      <c r="U125" s="15"/>
    </row>
    <row r="126" spans="1:21" ht="22.05" customHeight="1" x14ac:dyDescent="0.4">
      <c r="A126" s="43"/>
      <c r="B126" s="46"/>
      <c r="C126" s="12"/>
      <c r="D126" s="13"/>
      <c r="E126" s="14"/>
      <c r="F126" s="15" t="str">
        <f>IFERROR(INDEX('Reference Data'!$D$2:$D$6,MATCH($G126,'Reference Data'!$E$2:$E$6,0)),"")</f>
        <v/>
      </c>
      <c r="G126" s="21" t="str">
        <f>IF($D126="Scale",'Reference Data'!$H$2,"")</f>
        <v/>
      </c>
      <c r="H126" s="17" t="str">
        <f>IFERROR(INDEX('Reference Data'!$D$2:$D$6,MATCH($I126,'Reference Data'!$E$2:$E$6,0)),"")</f>
        <v/>
      </c>
      <c r="I126" s="21" t="str">
        <f>IF($G126="","",MEDIAN('Reference Data'!$H$1,'Reference Data'!$H$2,$G126+1*IF($G126='Reference Data'!$H$2,1,-1)))</f>
        <v/>
      </c>
      <c r="J126" s="17" t="str">
        <f>IFERROR(INDEX('Reference Data'!$D$2:$D$6,MATCH($K126,'Reference Data'!$E$2:$E$6,0)),"")</f>
        <v/>
      </c>
      <c r="K126" s="21" t="str">
        <f>IF($G126="","",MEDIAN('Reference Data'!$H$1,'Reference Data'!$H$2,$G126+2*IF($G126='Reference Data'!$H$2,1,-1)))</f>
        <v/>
      </c>
      <c r="L126" s="17" t="str">
        <f>IFERROR(INDEX('Reference Data'!$D$2:$D$6,MATCH($M126,'Reference Data'!$E$2:$E$6,0)),"")</f>
        <v/>
      </c>
      <c r="M126" s="21" t="str">
        <f>IF($G126="","",MEDIAN('Reference Data'!$H$1,'Reference Data'!$H$2,$G126+3*IF($G126='Reference Data'!$H$2,1,-1)))</f>
        <v/>
      </c>
      <c r="N126" s="18" t="str">
        <f>IFERROR(INDEX('Reference Data'!$D$2:$D$6,MATCH($O126,'Reference Data'!$E$2:$E$6,0)),"")</f>
        <v/>
      </c>
      <c r="O126" s="22" t="str">
        <f>IF($G126="","",MEDIAN('Reference Data'!$H$1,'Reference Data'!$H$2,$G126+4*IF($G126='Reference Data'!$H$2,1,-1)))</f>
        <v/>
      </c>
      <c r="P126" s="15"/>
      <c r="Q126" s="18"/>
      <c r="R126" s="20"/>
      <c r="S126" s="39" t="str">
        <f>IF($D126="","",IF($D126='Reference Data'!$A$11,"",IFERROR(IF(VLOOKUP($D126,'Reference Data'!$A$9:$C$11,3,FALSE)="",1,VLOOKUP($D126,'Reference Data'!$A$9:$C$11,3,FALSE)),1)))</f>
        <v/>
      </c>
      <c r="T126" s="40" t="str">
        <f>IF($D126="","",IFERROR(VLOOKUP($D126,'Reference Data'!$A$9:$B$11,2,FALSE),""))</f>
        <v/>
      </c>
      <c r="U126" s="15"/>
    </row>
    <row r="127" spans="1:21" ht="22.05" customHeight="1" x14ac:dyDescent="0.4">
      <c r="A127" s="43"/>
      <c r="B127" s="46"/>
      <c r="C127" s="12"/>
      <c r="D127" s="13"/>
      <c r="E127" s="14"/>
      <c r="F127" s="15" t="str">
        <f>IFERROR(INDEX('Reference Data'!$D$2:$D$6,MATCH($G127,'Reference Data'!$E$2:$E$6,0)),"")</f>
        <v/>
      </c>
      <c r="G127" s="21" t="str">
        <f>IF($D127="Scale",'Reference Data'!$H$2,"")</f>
        <v/>
      </c>
      <c r="H127" s="17" t="str">
        <f>IFERROR(INDEX('Reference Data'!$D$2:$D$6,MATCH($I127,'Reference Data'!$E$2:$E$6,0)),"")</f>
        <v/>
      </c>
      <c r="I127" s="21" t="str">
        <f>IF($G127="","",MEDIAN('Reference Data'!$H$1,'Reference Data'!$H$2,$G127+1*IF($G127='Reference Data'!$H$2,1,-1)))</f>
        <v/>
      </c>
      <c r="J127" s="17" t="str">
        <f>IFERROR(INDEX('Reference Data'!$D$2:$D$6,MATCH($K127,'Reference Data'!$E$2:$E$6,0)),"")</f>
        <v/>
      </c>
      <c r="K127" s="21" t="str">
        <f>IF($G127="","",MEDIAN('Reference Data'!$H$1,'Reference Data'!$H$2,$G127+2*IF($G127='Reference Data'!$H$2,1,-1)))</f>
        <v/>
      </c>
      <c r="L127" s="17" t="str">
        <f>IFERROR(INDEX('Reference Data'!$D$2:$D$6,MATCH($M127,'Reference Data'!$E$2:$E$6,0)),"")</f>
        <v/>
      </c>
      <c r="M127" s="21" t="str">
        <f>IF($G127="","",MEDIAN('Reference Data'!$H$1,'Reference Data'!$H$2,$G127+3*IF($G127='Reference Data'!$H$2,1,-1)))</f>
        <v/>
      </c>
      <c r="N127" s="18" t="str">
        <f>IFERROR(INDEX('Reference Data'!$D$2:$D$6,MATCH($O127,'Reference Data'!$E$2:$E$6,0)),"")</f>
        <v/>
      </c>
      <c r="O127" s="22" t="str">
        <f>IF($G127="","",MEDIAN('Reference Data'!$H$1,'Reference Data'!$H$2,$G127+4*IF($G127='Reference Data'!$H$2,1,-1)))</f>
        <v/>
      </c>
      <c r="P127" s="15"/>
      <c r="Q127" s="18"/>
      <c r="R127" s="20"/>
      <c r="S127" s="39" t="str">
        <f>IF($D127="","",IF($D127='Reference Data'!$A$11,"",IFERROR(IF(VLOOKUP($D127,'Reference Data'!$A$9:$C$11,3,FALSE)="",1,VLOOKUP($D127,'Reference Data'!$A$9:$C$11,3,FALSE)),1)))</f>
        <v/>
      </c>
      <c r="T127" s="40" t="str">
        <f>IF($D127="","",IFERROR(VLOOKUP($D127,'Reference Data'!$A$9:$B$11,2,FALSE),""))</f>
        <v/>
      </c>
      <c r="U127" s="15"/>
    </row>
    <row r="128" spans="1:21" ht="22.05" customHeight="1" x14ac:dyDescent="0.4">
      <c r="A128" s="43"/>
      <c r="B128" s="46"/>
      <c r="C128" s="12"/>
      <c r="D128" s="13"/>
      <c r="E128" s="14"/>
      <c r="F128" s="15" t="str">
        <f>IFERROR(INDEX('Reference Data'!$D$2:$D$6,MATCH($G128,'Reference Data'!$E$2:$E$6,0)),"")</f>
        <v/>
      </c>
      <c r="G128" s="21" t="str">
        <f>IF($D128="Scale",'Reference Data'!$H$2,"")</f>
        <v/>
      </c>
      <c r="H128" s="17" t="str">
        <f>IFERROR(INDEX('Reference Data'!$D$2:$D$6,MATCH($I128,'Reference Data'!$E$2:$E$6,0)),"")</f>
        <v/>
      </c>
      <c r="I128" s="21" t="str">
        <f>IF($G128="","",MEDIAN('Reference Data'!$H$1,'Reference Data'!$H$2,$G128+1*IF($G128='Reference Data'!$H$2,1,-1)))</f>
        <v/>
      </c>
      <c r="J128" s="17" t="str">
        <f>IFERROR(INDEX('Reference Data'!$D$2:$D$6,MATCH($K128,'Reference Data'!$E$2:$E$6,0)),"")</f>
        <v/>
      </c>
      <c r="K128" s="21" t="str">
        <f>IF($G128="","",MEDIAN('Reference Data'!$H$1,'Reference Data'!$H$2,$G128+2*IF($G128='Reference Data'!$H$2,1,-1)))</f>
        <v/>
      </c>
      <c r="L128" s="17" t="str">
        <f>IFERROR(INDEX('Reference Data'!$D$2:$D$6,MATCH($M128,'Reference Data'!$E$2:$E$6,0)),"")</f>
        <v/>
      </c>
      <c r="M128" s="21" t="str">
        <f>IF($G128="","",MEDIAN('Reference Data'!$H$1,'Reference Data'!$H$2,$G128+3*IF($G128='Reference Data'!$H$2,1,-1)))</f>
        <v/>
      </c>
      <c r="N128" s="18" t="str">
        <f>IFERROR(INDEX('Reference Data'!$D$2:$D$6,MATCH($O128,'Reference Data'!$E$2:$E$6,0)),"")</f>
        <v/>
      </c>
      <c r="O128" s="22" t="str">
        <f>IF($G128="","",MEDIAN('Reference Data'!$H$1,'Reference Data'!$H$2,$G128+4*IF($G128='Reference Data'!$H$2,1,-1)))</f>
        <v/>
      </c>
      <c r="P128" s="15"/>
      <c r="Q128" s="18"/>
      <c r="R128" s="20"/>
      <c r="S128" s="39" t="str">
        <f>IF($D128="","",IF($D128='Reference Data'!$A$11,"",IFERROR(IF(VLOOKUP($D128,'Reference Data'!$A$9:$C$11,3,FALSE)="",1,VLOOKUP($D128,'Reference Data'!$A$9:$C$11,3,FALSE)),1)))</f>
        <v/>
      </c>
      <c r="T128" s="40" t="str">
        <f>IF($D128="","",IFERROR(VLOOKUP($D128,'Reference Data'!$A$9:$B$11,2,FALSE),""))</f>
        <v/>
      </c>
      <c r="U128" s="15"/>
    </row>
    <row r="129" spans="1:21" ht="22.05" customHeight="1" x14ac:dyDescent="0.4">
      <c r="A129" s="43"/>
      <c r="B129" s="46"/>
      <c r="C129" s="12"/>
      <c r="D129" s="13"/>
      <c r="E129" s="14"/>
      <c r="F129" s="15" t="str">
        <f>IFERROR(INDEX('Reference Data'!$D$2:$D$6,MATCH($G129,'Reference Data'!$E$2:$E$6,0)),"")</f>
        <v/>
      </c>
      <c r="G129" s="21" t="str">
        <f>IF($D129="Scale",'Reference Data'!$H$2,"")</f>
        <v/>
      </c>
      <c r="H129" s="17" t="str">
        <f>IFERROR(INDEX('Reference Data'!$D$2:$D$6,MATCH($I129,'Reference Data'!$E$2:$E$6,0)),"")</f>
        <v/>
      </c>
      <c r="I129" s="21" t="str">
        <f>IF($G129="","",MEDIAN('Reference Data'!$H$1,'Reference Data'!$H$2,$G129+1*IF($G129='Reference Data'!$H$2,1,-1)))</f>
        <v/>
      </c>
      <c r="J129" s="17" t="str">
        <f>IFERROR(INDEX('Reference Data'!$D$2:$D$6,MATCH($K129,'Reference Data'!$E$2:$E$6,0)),"")</f>
        <v/>
      </c>
      <c r="K129" s="21" t="str">
        <f>IF($G129="","",MEDIAN('Reference Data'!$H$1,'Reference Data'!$H$2,$G129+2*IF($G129='Reference Data'!$H$2,1,-1)))</f>
        <v/>
      </c>
      <c r="L129" s="17" t="str">
        <f>IFERROR(INDEX('Reference Data'!$D$2:$D$6,MATCH($M129,'Reference Data'!$E$2:$E$6,0)),"")</f>
        <v/>
      </c>
      <c r="M129" s="21" t="str">
        <f>IF($G129="","",MEDIAN('Reference Data'!$H$1,'Reference Data'!$H$2,$G129+3*IF($G129='Reference Data'!$H$2,1,-1)))</f>
        <v/>
      </c>
      <c r="N129" s="18" t="str">
        <f>IFERROR(INDEX('Reference Data'!$D$2:$D$6,MATCH($O129,'Reference Data'!$E$2:$E$6,0)),"")</f>
        <v/>
      </c>
      <c r="O129" s="22" t="str">
        <f>IF($G129="","",MEDIAN('Reference Data'!$H$1,'Reference Data'!$H$2,$G129+4*IF($G129='Reference Data'!$H$2,1,-1)))</f>
        <v/>
      </c>
      <c r="P129" s="15"/>
      <c r="Q129" s="18"/>
      <c r="R129" s="20"/>
      <c r="S129" s="39" t="str">
        <f>IF($D129="","",IF($D129='Reference Data'!$A$11,"",IFERROR(IF(VLOOKUP($D129,'Reference Data'!$A$9:$C$11,3,FALSE)="",1,VLOOKUP($D129,'Reference Data'!$A$9:$C$11,3,FALSE)),1)))</f>
        <v/>
      </c>
      <c r="T129" s="40" t="str">
        <f>IF($D129="","",IFERROR(VLOOKUP($D129,'Reference Data'!$A$9:$B$11,2,FALSE),""))</f>
        <v/>
      </c>
      <c r="U129" s="15"/>
    </row>
    <row r="130" spans="1:21" ht="22.05" customHeight="1" x14ac:dyDescent="0.4">
      <c r="A130" s="43"/>
      <c r="B130" s="46"/>
      <c r="C130" s="12"/>
      <c r="D130" s="13"/>
      <c r="E130" s="14"/>
      <c r="F130" s="15" t="str">
        <f>IFERROR(INDEX('Reference Data'!$D$2:$D$6,MATCH($G130,'Reference Data'!$E$2:$E$6,0)),"")</f>
        <v/>
      </c>
      <c r="G130" s="21" t="str">
        <f>IF($D130="Scale",'Reference Data'!$H$2,"")</f>
        <v/>
      </c>
      <c r="H130" s="17" t="str">
        <f>IFERROR(INDEX('Reference Data'!$D$2:$D$6,MATCH($I130,'Reference Data'!$E$2:$E$6,0)),"")</f>
        <v/>
      </c>
      <c r="I130" s="21" t="str">
        <f>IF($G130="","",MEDIAN('Reference Data'!$H$1,'Reference Data'!$H$2,$G130+1*IF($G130='Reference Data'!$H$2,1,-1)))</f>
        <v/>
      </c>
      <c r="J130" s="17" t="str">
        <f>IFERROR(INDEX('Reference Data'!$D$2:$D$6,MATCH($K130,'Reference Data'!$E$2:$E$6,0)),"")</f>
        <v/>
      </c>
      <c r="K130" s="21" t="str">
        <f>IF($G130="","",MEDIAN('Reference Data'!$H$1,'Reference Data'!$H$2,$G130+2*IF($G130='Reference Data'!$H$2,1,-1)))</f>
        <v/>
      </c>
      <c r="L130" s="17" t="str">
        <f>IFERROR(INDEX('Reference Data'!$D$2:$D$6,MATCH($M130,'Reference Data'!$E$2:$E$6,0)),"")</f>
        <v/>
      </c>
      <c r="M130" s="21" t="str">
        <f>IF($G130="","",MEDIAN('Reference Data'!$H$1,'Reference Data'!$H$2,$G130+3*IF($G130='Reference Data'!$H$2,1,-1)))</f>
        <v/>
      </c>
      <c r="N130" s="18" t="str">
        <f>IFERROR(INDEX('Reference Data'!$D$2:$D$6,MATCH($O130,'Reference Data'!$E$2:$E$6,0)),"")</f>
        <v/>
      </c>
      <c r="O130" s="22" t="str">
        <f>IF($G130="","",MEDIAN('Reference Data'!$H$1,'Reference Data'!$H$2,$G130+4*IF($G130='Reference Data'!$H$2,1,-1)))</f>
        <v/>
      </c>
      <c r="P130" s="15"/>
      <c r="Q130" s="18"/>
      <c r="R130" s="20"/>
      <c r="S130" s="39" t="str">
        <f>IF($D130="","",IF($D130='Reference Data'!$A$11,"",IFERROR(IF(VLOOKUP($D130,'Reference Data'!$A$9:$C$11,3,FALSE)="",1,VLOOKUP($D130,'Reference Data'!$A$9:$C$11,3,FALSE)),1)))</f>
        <v/>
      </c>
      <c r="T130" s="40" t="str">
        <f>IF($D130="","",IFERROR(VLOOKUP($D130,'Reference Data'!$A$9:$B$11,2,FALSE),""))</f>
        <v/>
      </c>
      <c r="U130" s="15"/>
    </row>
    <row r="131" spans="1:21" ht="22.05" customHeight="1" x14ac:dyDescent="0.4">
      <c r="A131" s="43"/>
      <c r="B131" s="46"/>
      <c r="C131" s="12"/>
      <c r="D131" s="13"/>
      <c r="E131" s="14"/>
      <c r="F131" s="15" t="str">
        <f>IFERROR(INDEX('Reference Data'!$D$2:$D$6,MATCH($G131,'Reference Data'!$E$2:$E$6,0)),"")</f>
        <v/>
      </c>
      <c r="G131" s="21" t="str">
        <f>IF($D131="Scale",'Reference Data'!$H$2,"")</f>
        <v/>
      </c>
      <c r="H131" s="17" t="str">
        <f>IFERROR(INDEX('Reference Data'!$D$2:$D$6,MATCH($I131,'Reference Data'!$E$2:$E$6,0)),"")</f>
        <v/>
      </c>
      <c r="I131" s="21" t="str">
        <f>IF($G131="","",MEDIAN('Reference Data'!$H$1,'Reference Data'!$H$2,$G131+1*IF($G131='Reference Data'!$H$2,1,-1)))</f>
        <v/>
      </c>
      <c r="J131" s="17" t="str">
        <f>IFERROR(INDEX('Reference Data'!$D$2:$D$6,MATCH($K131,'Reference Data'!$E$2:$E$6,0)),"")</f>
        <v/>
      </c>
      <c r="K131" s="21" t="str">
        <f>IF($G131="","",MEDIAN('Reference Data'!$H$1,'Reference Data'!$H$2,$G131+2*IF($G131='Reference Data'!$H$2,1,-1)))</f>
        <v/>
      </c>
      <c r="L131" s="17" t="str">
        <f>IFERROR(INDEX('Reference Data'!$D$2:$D$6,MATCH($M131,'Reference Data'!$E$2:$E$6,0)),"")</f>
        <v/>
      </c>
      <c r="M131" s="21" t="str">
        <f>IF($G131="","",MEDIAN('Reference Data'!$H$1,'Reference Data'!$H$2,$G131+3*IF($G131='Reference Data'!$H$2,1,-1)))</f>
        <v/>
      </c>
      <c r="N131" s="18" t="str">
        <f>IFERROR(INDEX('Reference Data'!$D$2:$D$6,MATCH($O131,'Reference Data'!$E$2:$E$6,0)),"")</f>
        <v/>
      </c>
      <c r="O131" s="22" t="str">
        <f>IF($G131="","",MEDIAN('Reference Data'!$H$1,'Reference Data'!$H$2,$G131+4*IF($G131='Reference Data'!$H$2,1,-1)))</f>
        <v/>
      </c>
      <c r="P131" s="15"/>
      <c r="Q131" s="18"/>
      <c r="R131" s="20"/>
      <c r="S131" s="39" t="str">
        <f>IF($D131="","",IF($D131='Reference Data'!$A$11,"",IFERROR(IF(VLOOKUP($D131,'Reference Data'!$A$9:$C$11,3,FALSE)="",1,VLOOKUP($D131,'Reference Data'!$A$9:$C$11,3,FALSE)),1)))</f>
        <v/>
      </c>
      <c r="T131" s="40" t="str">
        <f>IF($D131="","",IFERROR(VLOOKUP($D131,'Reference Data'!$A$9:$B$11,2,FALSE),""))</f>
        <v/>
      </c>
      <c r="U131" s="15"/>
    </row>
    <row r="132" spans="1:21" ht="22.05" customHeight="1" x14ac:dyDescent="0.4">
      <c r="A132" s="43"/>
      <c r="B132" s="46"/>
      <c r="C132" s="12"/>
      <c r="D132" s="13"/>
      <c r="E132" s="14"/>
      <c r="F132" s="15" t="str">
        <f>IFERROR(INDEX('Reference Data'!$D$2:$D$6,MATCH($G132,'Reference Data'!$E$2:$E$6,0)),"")</f>
        <v/>
      </c>
      <c r="G132" s="21" t="str">
        <f>IF($D132="Scale",'Reference Data'!$H$2,"")</f>
        <v/>
      </c>
      <c r="H132" s="17" t="str">
        <f>IFERROR(INDEX('Reference Data'!$D$2:$D$6,MATCH($I132,'Reference Data'!$E$2:$E$6,0)),"")</f>
        <v/>
      </c>
      <c r="I132" s="21" t="str">
        <f>IF($G132="","",MEDIAN('Reference Data'!$H$1,'Reference Data'!$H$2,$G132+1*IF($G132='Reference Data'!$H$2,1,-1)))</f>
        <v/>
      </c>
      <c r="J132" s="17" t="str">
        <f>IFERROR(INDEX('Reference Data'!$D$2:$D$6,MATCH($K132,'Reference Data'!$E$2:$E$6,0)),"")</f>
        <v/>
      </c>
      <c r="K132" s="21" t="str">
        <f>IF($G132="","",MEDIAN('Reference Data'!$H$1,'Reference Data'!$H$2,$G132+2*IF($G132='Reference Data'!$H$2,1,-1)))</f>
        <v/>
      </c>
      <c r="L132" s="17" t="str">
        <f>IFERROR(INDEX('Reference Data'!$D$2:$D$6,MATCH($M132,'Reference Data'!$E$2:$E$6,0)),"")</f>
        <v/>
      </c>
      <c r="M132" s="21" t="str">
        <f>IF($G132="","",MEDIAN('Reference Data'!$H$1,'Reference Data'!$H$2,$G132+3*IF($G132='Reference Data'!$H$2,1,-1)))</f>
        <v/>
      </c>
      <c r="N132" s="18" t="str">
        <f>IFERROR(INDEX('Reference Data'!$D$2:$D$6,MATCH($O132,'Reference Data'!$E$2:$E$6,0)),"")</f>
        <v/>
      </c>
      <c r="O132" s="22" t="str">
        <f>IF($G132="","",MEDIAN('Reference Data'!$H$1,'Reference Data'!$H$2,$G132+4*IF($G132='Reference Data'!$H$2,1,-1)))</f>
        <v/>
      </c>
      <c r="P132" s="15"/>
      <c r="Q132" s="18"/>
      <c r="R132" s="20"/>
      <c r="S132" s="39" t="str">
        <f>IF($D132="","",IF($D132='Reference Data'!$A$11,"",IFERROR(IF(VLOOKUP($D132,'Reference Data'!$A$9:$C$11,3,FALSE)="",1,VLOOKUP($D132,'Reference Data'!$A$9:$C$11,3,FALSE)),1)))</f>
        <v/>
      </c>
      <c r="T132" s="40" t="str">
        <f>IF($D132="","",IFERROR(VLOOKUP($D132,'Reference Data'!$A$9:$B$11,2,FALSE),""))</f>
        <v/>
      </c>
      <c r="U132" s="15"/>
    </row>
    <row r="133" spans="1:21" ht="22.05" customHeight="1" x14ac:dyDescent="0.4">
      <c r="A133" s="43"/>
      <c r="B133" s="46"/>
      <c r="C133" s="12"/>
      <c r="D133" s="13"/>
      <c r="E133" s="14"/>
      <c r="F133" s="15" t="str">
        <f>IFERROR(INDEX('Reference Data'!$D$2:$D$6,MATCH($G133,'Reference Data'!$E$2:$E$6,0)),"")</f>
        <v/>
      </c>
      <c r="G133" s="21" t="str">
        <f>IF($D133="Scale",'Reference Data'!$H$2,"")</f>
        <v/>
      </c>
      <c r="H133" s="17" t="str">
        <f>IFERROR(INDEX('Reference Data'!$D$2:$D$6,MATCH($I133,'Reference Data'!$E$2:$E$6,0)),"")</f>
        <v/>
      </c>
      <c r="I133" s="21" t="str">
        <f>IF($G133="","",MEDIAN('Reference Data'!$H$1,'Reference Data'!$H$2,$G133+1*IF($G133='Reference Data'!$H$2,1,-1)))</f>
        <v/>
      </c>
      <c r="J133" s="17" t="str">
        <f>IFERROR(INDEX('Reference Data'!$D$2:$D$6,MATCH($K133,'Reference Data'!$E$2:$E$6,0)),"")</f>
        <v/>
      </c>
      <c r="K133" s="21" t="str">
        <f>IF($G133="","",MEDIAN('Reference Data'!$H$1,'Reference Data'!$H$2,$G133+2*IF($G133='Reference Data'!$H$2,1,-1)))</f>
        <v/>
      </c>
      <c r="L133" s="17" t="str">
        <f>IFERROR(INDEX('Reference Data'!$D$2:$D$6,MATCH($M133,'Reference Data'!$E$2:$E$6,0)),"")</f>
        <v/>
      </c>
      <c r="M133" s="21" t="str">
        <f>IF($G133="","",MEDIAN('Reference Data'!$H$1,'Reference Data'!$H$2,$G133+3*IF($G133='Reference Data'!$H$2,1,-1)))</f>
        <v/>
      </c>
      <c r="N133" s="18" t="str">
        <f>IFERROR(INDEX('Reference Data'!$D$2:$D$6,MATCH($O133,'Reference Data'!$E$2:$E$6,0)),"")</f>
        <v/>
      </c>
      <c r="O133" s="22" t="str">
        <f>IF($G133="","",MEDIAN('Reference Data'!$H$1,'Reference Data'!$H$2,$G133+4*IF($G133='Reference Data'!$H$2,1,-1)))</f>
        <v/>
      </c>
      <c r="P133" s="15"/>
      <c r="Q133" s="18"/>
      <c r="R133" s="20"/>
      <c r="S133" s="39" t="str">
        <f>IF($D133="","",IF($D133='Reference Data'!$A$11,"",IFERROR(IF(VLOOKUP($D133,'Reference Data'!$A$9:$C$11,3,FALSE)="",1,VLOOKUP($D133,'Reference Data'!$A$9:$C$11,3,FALSE)),1)))</f>
        <v/>
      </c>
      <c r="T133" s="40" t="str">
        <f>IF($D133="","",IFERROR(VLOOKUP($D133,'Reference Data'!$A$9:$B$11,2,FALSE),""))</f>
        <v/>
      </c>
      <c r="U133" s="15"/>
    </row>
    <row r="134" spans="1:21" ht="22.05" customHeight="1" x14ac:dyDescent="0.4">
      <c r="A134" s="43"/>
      <c r="B134" s="46"/>
      <c r="C134" s="12"/>
      <c r="D134" s="13"/>
      <c r="E134" s="14"/>
      <c r="F134" s="15" t="str">
        <f>IFERROR(INDEX('Reference Data'!$D$2:$D$6,MATCH($G134,'Reference Data'!$E$2:$E$6,0)),"")</f>
        <v/>
      </c>
      <c r="G134" s="21" t="str">
        <f>IF($D134="Scale",'Reference Data'!$H$2,"")</f>
        <v/>
      </c>
      <c r="H134" s="17" t="str">
        <f>IFERROR(INDEX('Reference Data'!$D$2:$D$6,MATCH($I134,'Reference Data'!$E$2:$E$6,0)),"")</f>
        <v/>
      </c>
      <c r="I134" s="21" t="str">
        <f>IF($G134="","",MEDIAN('Reference Data'!$H$1,'Reference Data'!$H$2,$G134+1*IF($G134='Reference Data'!$H$2,1,-1)))</f>
        <v/>
      </c>
      <c r="J134" s="17" t="str">
        <f>IFERROR(INDEX('Reference Data'!$D$2:$D$6,MATCH($K134,'Reference Data'!$E$2:$E$6,0)),"")</f>
        <v/>
      </c>
      <c r="K134" s="21" t="str">
        <f>IF($G134="","",MEDIAN('Reference Data'!$H$1,'Reference Data'!$H$2,$G134+2*IF($G134='Reference Data'!$H$2,1,-1)))</f>
        <v/>
      </c>
      <c r="L134" s="17" t="str">
        <f>IFERROR(INDEX('Reference Data'!$D$2:$D$6,MATCH($M134,'Reference Data'!$E$2:$E$6,0)),"")</f>
        <v/>
      </c>
      <c r="M134" s="21" t="str">
        <f>IF($G134="","",MEDIAN('Reference Data'!$H$1,'Reference Data'!$H$2,$G134+3*IF($G134='Reference Data'!$H$2,1,-1)))</f>
        <v/>
      </c>
      <c r="N134" s="18" t="str">
        <f>IFERROR(INDEX('Reference Data'!$D$2:$D$6,MATCH($O134,'Reference Data'!$E$2:$E$6,0)),"")</f>
        <v/>
      </c>
      <c r="O134" s="22" t="str">
        <f>IF($G134="","",MEDIAN('Reference Data'!$H$1,'Reference Data'!$H$2,$G134+4*IF($G134='Reference Data'!$H$2,1,-1)))</f>
        <v/>
      </c>
      <c r="P134" s="15"/>
      <c r="Q134" s="18"/>
      <c r="R134" s="20"/>
      <c r="S134" s="39" t="str">
        <f>IF($D134="","",IF($D134='Reference Data'!$A$11,"",IFERROR(IF(VLOOKUP($D134,'Reference Data'!$A$9:$C$11,3,FALSE)="",1,VLOOKUP($D134,'Reference Data'!$A$9:$C$11,3,FALSE)),1)))</f>
        <v/>
      </c>
      <c r="T134" s="40" t="str">
        <f>IF($D134="","",IFERROR(VLOOKUP($D134,'Reference Data'!$A$9:$B$11,2,FALSE),""))</f>
        <v/>
      </c>
      <c r="U134" s="15"/>
    </row>
    <row r="135" spans="1:21" ht="22.05" customHeight="1" x14ac:dyDescent="0.4">
      <c r="A135" s="43"/>
      <c r="B135" s="46"/>
      <c r="C135" s="12"/>
      <c r="D135" s="13"/>
      <c r="E135" s="14"/>
      <c r="F135" s="15" t="str">
        <f>IFERROR(INDEX('Reference Data'!$D$2:$D$6,MATCH($G135,'Reference Data'!$E$2:$E$6,0)),"")</f>
        <v/>
      </c>
      <c r="G135" s="21" t="str">
        <f>IF($D135="Scale",'Reference Data'!$H$2,"")</f>
        <v/>
      </c>
      <c r="H135" s="17" t="str">
        <f>IFERROR(INDEX('Reference Data'!$D$2:$D$6,MATCH($I135,'Reference Data'!$E$2:$E$6,0)),"")</f>
        <v/>
      </c>
      <c r="I135" s="21" t="str">
        <f>IF($G135="","",MEDIAN('Reference Data'!$H$1,'Reference Data'!$H$2,$G135+1*IF($G135='Reference Data'!$H$2,1,-1)))</f>
        <v/>
      </c>
      <c r="J135" s="17" t="str">
        <f>IFERROR(INDEX('Reference Data'!$D$2:$D$6,MATCH($K135,'Reference Data'!$E$2:$E$6,0)),"")</f>
        <v/>
      </c>
      <c r="K135" s="21" t="str">
        <f>IF($G135="","",MEDIAN('Reference Data'!$H$1,'Reference Data'!$H$2,$G135+2*IF($G135='Reference Data'!$H$2,1,-1)))</f>
        <v/>
      </c>
      <c r="L135" s="17" t="str">
        <f>IFERROR(INDEX('Reference Data'!$D$2:$D$6,MATCH($M135,'Reference Data'!$E$2:$E$6,0)),"")</f>
        <v/>
      </c>
      <c r="M135" s="21" t="str">
        <f>IF($G135="","",MEDIAN('Reference Data'!$H$1,'Reference Data'!$H$2,$G135+3*IF($G135='Reference Data'!$H$2,1,-1)))</f>
        <v/>
      </c>
      <c r="N135" s="18" t="str">
        <f>IFERROR(INDEX('Reference Data'!$D$2:$D$6,MATCH($O135,'Reference Data'!$E$2:$E$6,0)),"")</f>
        <v/>
      </c>
      <c r="O135" s="22" t="str">
        <f>IF($G135="","",MEDIAN('Reference Data'!$H$1,'Reference Data'!$H$2,$G135+4*IF($G135='Reference Data'!$H$2,1,-1)))</f>
        <v/>
      </c>
      <c r="P135" s="15"/>
      <c r="Q135" s="18"/>
      <c r="R135" s="20"/>
      <c r="S135" s="39" t="str">
        <f>IF($D135="","",IF($D135='Reference Data'!$A$11,"",IFERROR(IF(VLOOKUP($D135,'Reference Data'!$A$9:$C$11,3,FALSE)="",1,VLOOKUP($D135,'Reference Data'!$A$9:$C$11,3,FALSE)),1)))</f>
        <v/>
      </c>
      <c r="T135" s="40" t="str">
        <f>IF($D135="","",IFERROR(VLOOKUP($D135,'Reference Data'!$A$9:$B$11,2,FALSE),""))</f>
        <v/>
      </c>
      <c r="U135" s="15"/>
    </row>
    <row r="136" spans="1:21" ht="22.05" customHeight="1" x14ac:dyDescent="0.4">
      <c r="A136" s="43"/>
      <c r="B136" s="46"/>
      <c r="C136" s="12"/>
      <c r="D136" s="13"/>
      <c r="E136" s="14"/>
      <c r="F136" s="15" t="str">
        <f>IFERROR(INDEX('Reference Data'!$D$2:$D$6,MATCH($G136,'Reference Data'!$E$2:$E$6,0)),"")</f>
        <v/>
      </c>
      <c r="G136" s="21" t="str">
        <f>IF($D136="Scale",'Reference Data'!$H$2,"")</f>
        <v/>
      </c>
      <c r="H136" s="17" t="str">
        <f>IFERROR(INDEX('Reference Data'!$D$2:$D$6,MATCH($I136,'Reference Data'!$E$2:$E$6,0)),"")</f>
        <v/>
      </c>
      <c r="I136" s="21" t="str">
        <f>IF($G136="","",MEDIAN('Reference Data'!$H$1,'Reference Data'!$H$2,$G136+1*IF($G136='Reference Data'!$H$2,1,-1)))</f>
        <v/>
      </c>
      <c r="J136" s="17" t="str">
        <f>IFERROR(INDEX('Reference Data'!$D$2:$D$6,MATCH($K136,'Reference Data'!$E$2:$E$6,0)),"")</f>
        <v/>
      </c>
      <c r="K136" s="21" t="str">
        <f>IF($G136="","",MEDIAN('Reference Data'!$H$1,'Reference Data'!$H$2,$G136+2*IF($G136='Reference Data'!$H$2,1,-1)))</f>
        <v/>
      </c>
      <c r="L136" s="17" t="str">
        <f>IFERROR(INDEX('Reference Data'!$D$2:$D$6,MATCH($M136,'Reference Data'!$E$2:$E$6,0)),"")</f>
        <v/>
      </c>
      <c r="M136" s="21" t="str">
        <f>IF($G136="","",MEDIAN('Reference Data'!$H$1,'Reference Data'!$H$2,$G136+3*IF($G136='Reference Data'!$H$2,1,-1)))</f>
        <v/>
      </c>
      <c r="N136" s="18" t="str">
        <f>IFERROR(INDEX('Reference Data'!$D$2:$D$6,MATCH($O136,'Reference Data'!$E$2:$E$6,0)),"")</f>
        <v/>
      </c>
      <c r="O136" s="22" t="str">
        <f>IF($G136="","",MEDIAN('Reference Data'!$H$1,'Reference Data'!$H$2,$G136+4*IF($G136='Reference Data'!$H$2,1,-1)))</f>
        <v/>
      </c>
      <c r="P136" s="15"/>
      <c r="Q136" s="18"/>
      <c r="R136" s="20"/>
      <c r="S136" s="39" t="str">
        <f>IF($D136="","",IF($D136='Reference Data'!$A$11,"",IFERROR(IF(VLOOKUP($D136,'Reference Data'!$A$9:$C$11,3,FALSE)="",1,VLOOKUP($D136,'Reference Data'!$A$9:$C$11,3,FALSE)),1)))</f>
        <v/>
      </c>
      <c r="T136" s="40" t="str">
        <f>IF($D136="","",IFERROR(VLOOKUP($D136,'Reference Data'!$A$9:$B$11,2,FALSE),""))</f>
        <v/>
      </c>
      <c r="U136" s="15"/>
    </row>
    <row r="137" spans="1:21" ht="22.05" customHeight="1" x14ac:dyDescent="0.4">
      <c r="A137" s="43"/>
      <c r="B137" s="46"/>
      <c r="C137" s="12"/>
      <c r="D137" s="13"/>
      <c r="E137" s="14"/>
      <c r="F137" s="15" t="str">
        <f>IFERROR(INDEX('Reference Data'!$D$2:$D$6,MATCH($G137,'Reference Data'!$E$2:$E$6,0)),"")</f>
        <v/>
      </c>
      <c r="G137" s="21" t="str">
        <f>IF($D137="Scale",'Reference Data'!$H$2,"")</f>
        <v/>
      </c>
      <c r="H137" s="17" t="str">
        <f>IFERROR(INDEX('Reference Data'!$D$2:$D$6,MATCH($I137,'Reference Data'!$E$2:$E$6,0)),"")</f>
        <v/>
      </c>
      <c r="I137" s="21" t="str">
        <f>IF($G137="","",MEDIAN('Reference Data'!$H$1,'Reference Data'!$H$2,$G137+1*IF($G137='Reference Data'!$H$2,1,-1)))</f>
        <v/>
      </c>
      <c r="J137" s="17" t="str">
        <f>IFERROR(INDEX('Reference Data'!$D$2:$D$6,MATCH($K137,'Reference Data'!$E$2:$E$6,0)),"")</f>
        <v/>
      </c>
      <c r="K137" s="21" t="str">
        <f>IF($G137="","",MEDIAN('Reference Data'!$H$1,'Reference Data'!$H$2,$G137+2*IF($G137='Reference Data'!$H$2,1,-1)))</f>
        <v/>
      </c>
      <c r="L137" s="17" t="str">
        <f>IFERROR(INDEX('Reference Data'!$D$2:$D$6,MATCH($M137,'Reference Data'!$E$2:$E$6,0)),"")</f>
        <v/>
      </c>
      <c r="M137" s="21" t="str">
        <f>IF($G137="","",MEDIAN('Reference Data'!$H$1,'Reference Data'!$H$2,$G137+3*IF($G137='Reference Data'!$H$2,1,-1)))</f>
        <v/>
      </c>
      <c r="N137" s="18" t="str">
        <f>IFERROR(INDEX('Reference Data'!$D$2:$D$6,MATCH($O137,'Reference Data'!$E$2:$E$6,0)),"")</f>
        <v/>
      </c>
      <c r="O137" s="22" t="str">
        <f>IF($G137="","",MEDIAN('Reference Data'!$H$1,'Reference Data'!$H$2,$G137+4*IF($G137='Reference Data'!$H$2,1,-1)))</f>
        <v/>
      </c>
      <c r="P137" s="15"/>
      <c r="Q137" s="18"/>
      <c r="R137" s="20"/>
      <c r="S137" s="39" t="str">
        <f>IF($D137="","",IF($D137='Reference Data'!$A$11,"",IFERROR(IF(VLOOKUP($D137,'Reference Data'!$A$9:$C$11,3,FALSE)="",1,VLOOKUP($D137,'Reference Data'!$A$9:$C$11,3,FALSE)),1)))</f>
        <v/>
      </c>
      <c r="T137" s="40" t="str">
        <f>IF($D137="","",IFERROR(VLOOKUP($D137,'Reference Data'!$A$9:$B$11,2,FALSE),""))</f>
        <v/>
      </c>
      <c r="U137" s="15"/>
    </row>
    <row r="138" spans="1:21" ht="22.05" customHeight="1" x14ac:dyDescent="0.4">
      <c r="A138" s="43"/>
      <c r="B138" s="46"/>
      <c r="C138" s="12"/>
      <c r="D138" s="13"/>
      <c r="E138" s="14"/>
      <c r="F138" s="15" t="str">
        <f>IFERROR(INDEX('Reference Data'!$D$2:$D$6,MATCH($G138,'Reference Data'!$E$2:$E$6,0)),"")</f>
        <v/>
      </c>
      <c r="G138" s="21" t="str">
        <f>IF($D138="Scale",'Reference Data'!$H$2,"")</f>
        <v/>
      </c>
      <c r="H138" s="17" t="str">
        <f>IFERROR(INDEX('Reference Data'!$D$2:$D$6,MATCH($I138,'Reference Data'!$E$2:$E$6,0)),"")</f>
        <v/>
      </c>
      <c r="I138" s="21" t="str">
        <f>IF($G138="","",MEDIAN('Reference Data'!$H$1,'Reference Data'!$H$2,$G138+1*IF($G138='Reference Data'!$H$2,1,-1)))</f>
        <v/>
      </c>
      <c r="J138" s="17" t="str">
        <f>IFERROR(INDEX('Reference Data'!$D$2:$D$6,MATCH($K138,'Reference Data'!$E$2:$E$6,0)),"")</f>
        <v/>
      </c>
      <c r="K138" s="21" t="str">
        <f>IF($G138="","",MEDIAN('Reference Data'!$H$1,'Reference Data'!$H$2,$G138+2*IF($G138='Reference Data'!$H$2,1,-1)))</f>
        <v/>
      </c>
      <c r="L138" s="17" t="str">
        <f>IFERROR(INDEX('Reference Data'!$D$2:$D$6,MATCH($M138,'Reference Data'!$E$2:$E$6,0)),"")</f>
        <v/>
      </c>
      <c r="M138" s="21" t="str">
        <f>IF($G138="","",MEDIAN('Reference Data'!$H$1,'Reference Data'!$H$2,$G138+3*IF($G138='Reference Data'!$H$2,1,-1)))</f>
        <v/>
      </c>
      <c r="N138" s="18" t="str">
        <f>IFERROR(INDEX('Reference Data'!$D$2:$D$6,MATCH($O138,'Reference Data'!$E$2:$E$6,0)),"")</f>
        <v/>
      </c>
      <c r="O138" s="22" t="str">
        <f>IF($G138="","",MEDIAN('Reference Data'!$H$1,'Reference Data'!$H$2,$G138+4*IF($G138='Reference Data'!$H$2,1,-1)))</f>
        <v/>
      </c>
      <c r="P138" s="15"/>
      <c r="Q138" s="18"/>
      <c r="R138" s="20"/>
      <c r="S138" s="39" t="str">
        <f>IF($D138="","",IF($D138='Reference Data'!$A$11,"",IFERROR(IF(VLOOKUP($D138,'Reference Data'!$A$9:$C$11,3,FALSE)="",1,VLOOKUP($D138,'Reference Data'!$A$9:$C$11,3,FALSE)),1)))</f>
        <v/>
      </c>
      <c r="T138" s="40" t="str">
        <f>IF($D138="","",IFERROR(VLOOKUP($D138,'Reference Data'!$A$9:$B$11,2,FALSE),""))</f>
        <v/>
      </c>
      <c r="U138" s="15"/>
    </row>
    <row r="139" spans="1:21" ht="22.05" customHeight="1" x14ac:dyDescent="0.4">
      <c r="A139" s="43"/>
      <c r="B139" s="46"/>
      <c r="C139" s="12"/>
      <c r="D139" s="13"/>
      <c r="E139" s="14"/>
      <c r="F139" s="15" t="str">
        <f>IFERROR(INDEX('Reference Data'!$D$2:$D$6,MATCH($G139,'Reference Data'!$E$2:$E$6,0)),"")</f>
        <v/>
      </c>
      <c r="G139" s="21" t="str">
        <f>IF($D139="Scale",'Reference Data'!$H$2,"")</f>
        <v/>
      </c>
      <c r="H139" s="17" t="str">
        <f>IFERROR(INDEX('Reference Data'!$D$2:$D$6,MATCH($I139,'Reference Data'!$E$2:$E$6,0)),"")</f>
        <v/>
      </c>
      <c r="I139" s="21" t="str">
        <f>IF($G139="","",MEDIAN('Reference Data'!$H$1,'Reference Data'!$H$2,$G139+1*IF($G139='Reference Data'!$H$2,1,-1)))</f>
        <v/>
      </c>
      <c r="J139" s="17" t="str">
        <f>IFERROR(INDEX('Reference Data'!$D$2:$D$6,MATCH($K139,'Reference Data'!$E$2:$E$6,0)),"")</f>
        <v/>
      </c>
      <c r="K139" s="21" t="str">
        <f>IF($G139="","",MEDIAN('Reference Data'!$H$1,'Reference Data'!$H$2,$G139+2*IF($G139='Reference Data'!$H$2,1,-1)))</f>
        <v/>
      </c>
      <c r="L139" s="17" t="str">
        <f>IFERROR(INDEX('Reference Data'!$D$2:$D$6,MATCH($M139,'Reference Data'!$E$2:$E$6,0)),"")</f>
        <v/>
      </c>
      <c r="M139" s="21" t="str">
        <f>IF($G139="","",MEDIAN('Reference Data'!$H$1,'Reference Data'!$H$2,$G139+3*IF($G139='Reference Data'!$H$2,1,-1)))</f>
        <v/>
      </c>
      <c r="N139" s="18" t="str">
        <f>IFERROR(INDEX('Reference Data'!$D$2:$D$6,MATCH($O139,'Reference Data'!$E$2:$E$6,0)),"")</f>
        <v/>
      </c>
      <c r="O139" s="22" t="str">
        <f>IF($G139="","",MEDIAN('Reference Data'!$H$1,'Reference Data'!$H$2,$G139+4*IF($G139='Reference Data'!$H$2,1,-1)))</f>
        <v/>
      </c>
      <c r="P139" s="15"/>
      <c r="Q139" s="18"/>
      <c r="R139" s="20"/>
      <c r="S139" s="39" t="str">
        <f>IF($D139="","",IF($D139='Reference Data'!$A$11,"",IFERROR(IF(VLOOKUP($D139,'Reference Data'!$A$9:$C$11,3,FALSE)="",1,VLOOKUP($D139,'Reference Data'!$A$9:$C$11,3,FALSE)),1)))</f>
        <v/>
      </c>
      <c r="T139" s="40" t="str">
        <f>IF($D139="","",IFERROR(VLOOKUP($D139,'Reference Data'!$A$9:$B$11,2,FALSE),""))</f>
        <v/>
      </c>
      <c r="U139" s="15"/>
    </row>
    <row r="140" spans="1:21" ht="22.05" customHeight="1" x14ac:dyDescent="0.4">
      <c r="A140" s="43"/>
      <c r="B140" s="46"/>
      <c r="C140" s="12"/>
      <c r="D140" s="13"/>
      <c r="E140" s="14"/>
      <c r="F140" s="15" t="str">
        <f>IFERROR(INDEX('Reference Data'!$D$2:$D$6,MATCH($G140,'Reference Data'!$E$2:$E$6,0)),"")</f>
        <v/>
      </c>
      <c r="G140" s="21" t="str">
        <f>IF($D140="Scale",'Reference Data'!$H$2,"")</f>
        <v/>
      </c>
      <c r="H140" s="17" t="str">
        <f>IFERROR(INDEX('Reference Data'!$D$2:$D$6,MATCH($I140,'Reference Data'!$E$2:$E$6,0)),"")</f>
        <v/>
      </c>
      <c r="I140" s="21" t="str">
        <f>IF($G140="","",MEDIAN('Reference Data'!$H$1,'Reference Data'!$H$2,$G140+1*IF($G140='Reference Data'!$H$2,1,-1)))</f>
        <v/>
      </c>
      <c r="J140" s="17" t="str">
        <f>IFERROR(INDEX('Reference Data'!$D$2:$D$6,MATCH($K140,'Reference Data'!$E$2:$E$6,0)),"")</f>
        <v/>
      </c>
      <c r="K140" s="21" t="str">
        <f>IF($G140="","",MEDIAN('Reference Data'!$H$1,'Reference Data'!$H$2,$G140+2*IF($G140='Reference Data'!$H$2,1,-1)))</f>
        <v/>
      </c>
      <c r="L140" s="17" t="str">
        <f>IFERROR(INDEX('Reference Data'!$D$2:$D$6,MATCH($M140,'Reference Data'!$E$2:$E$6,0)),"")</f>
        <v/>
      </c>
      <c r="M140" s="21" t="str">
        <f>IF($G140="","",MEDIAN('Reference Data'!$H$1,'Reference Data'!$H$2,$G140+3*IF($G140='Reference Data'!$H$2,1,-1)))</f>
        <v/>
      </c>
      <c r="N140" s="18" t="str">
        <f>IFERROR(INDEX('Reference Data'!$D$2:$D$6,MATCH($O140,'Reference Data'!$E$2:$E$6,0)),"")</f>
        <v/>
      </c>
      <c r="O140" s="22" t="str">
        <f>IF($G140="","",MEDIAN('Reference Data'!$H$1,'Reference Data'!$H$2,$G140+4*IF($G140='Reference Data'!$H$2,1,-1)))</f>
        <v/>
      </c>
      <c r="P140" s="15"/>
      <c r="Q140" s="18"/>
      <c r="R140" s="20"/>
      <c r="S140" s="39" t="str">
        <f>IF($D140="","",IF($D140='Reference Data'!$A$11,"",IFERROR(IF(VLOOKUP($D140,'Reference Data'!$A$9:$C$11,3,FALSE)="",1,VLOOKUP($D140,'Reference Data'!$A$9:$C$11,3,FALSE)),1)))</f>
        <v/>
      </c>
      <c r="T140" s="40" t="str">
        <f>IF($D140="","",IFERROR(VLOOKUP($D140,'Reference Data'!$A$9:$B$11,2,FALSE),""))</f>
        <v/>
      </c>
      <c r="U140" s="15"/>
    </row>
    <row r="141" spans="1:21" ht="22.05" customHeight="1" x14ac:dyDescent="0.4">
      <c r="A141" s="43"/>
      <c r="B141" s="46"/>
      <c r="C141" s="12"/>
      <c r="D141" s="13"/>
      <c r="E141" s="14"/>
      <c r="F141" s="15" t="str">
        <f>IFERROR(INDEX('Reference Data'!$D$2:$D$6,MATCH($G141,'Reference Data'!$E$2:$E$6,0)),"")</f>
        <v/>
      </c>
      <c r="G141" s="21" t="str">
        <f>IF($D141="Scale",'Reference Data'!$H$2,"")</f>
        <v/>
      </c>
      <c r="H141" s="17" t="str">
        <f>IFERROR(INDEX('Reference Data'!$D$2:$D$6,MATCH($I141,'Reference Data'!$E$2:$E$6,0)),"")</f>
        <v/>
      </c>
      <c r="I141" s="21" t="str">
        <f>IF($G141="","",MEDIAN('Reference Data'!$H$1,'Reference Data'!$H$2,$G141+1*IF($G141='Reference Data'!$H$2,1,-1)))</f>
        <v/>
      </c>
      <c r="J141" s="17" t="str">
        <f>IFERROR(INDEX('Reference Data'!$D$2:$D$6,MATCH($K141,'Reference Data'!$E$2:$E$6,0)),"")</f>
        <v/>
      </c>
      <c r="K141" s="21" t="str">
        <f>IF($G141="","",MEDIAN('Reference Data'!$H$1,'Reference Data'!$H$2,$G141+2*IF($G141='Reference Data'!$H$2,1,-1)))</f>
        <v/>
      </c>
      <c r="L141" s="17" t="str">
        <f>IFERROR(INDEX('Reference Data'!$D$2:$D$6,MATCH($M141,'Reference Data'!$E$2:$E$6,0)),"")</f>
        <v/>
      </c>
      <c r="M141" s="21" t="str">
        <f>IF($G141="","",MEDIAN('Reference Data'!$H$1,'Reference Data'!$H$2,$G141+3*IF($G141='Reference Data'!$H$2,1,-1)))</f>
        <v/>
      </c>
      <c r="N141" s="18" t="str">
        <f>IFERROR(INDEX('Reference Data'!$D$2:$D$6,MATCH($O141,'Reference Data'!$E$2:$E$6,0)),"")</f>
        <v/>
      </c>
      <c r="O141" s="22" t="str">
        <f>IF($G141="","",MEDIAN('Reference Data'!$H$1,'Reference Data'!$H$2,$G141+4*IF($G141='Reference Data'!$H$2,1,-1)))</f>
        <v/>
      </c>
      <c r="P141" s="15"/>
      <c r="Q141" s="18"/>
      <c r="R141" s="20"/>
      <c r="S141" s="39" t="str">
        <f>IF($D141="","",IF($D141='Reference Data'!$A$11,"",IFERROR(IF(VLOOKUP($D141,'Reference Data'!$A$9:$C$11,3,FALSE)="",1,VLOOKUP($D141,'Reference Data'!$A$9:$C$11,3,FALSE)),1)))</f>
        <v/>
      </c>
      <c r="T141" s="40" t="str">
        <f>IF($D141="","",IFERROR(VLOOKUP($D141,'Reference Data'!$A$9:$B$11,2,FALSE),""))</f>
        <v/>
      </c>
      <c r="U141" s="15"/>
    </row>
    <row r="142" spans="1:21" ht="22.05" customHeight="1" x14ac:dyDescent="0.4">
      <c r="A142" s="43"/>
      <c r="B142" s="46"/>
      <c r="C142" s="12"/>
      <c r="D142" s="13"/>
      <c r="E142" s="14"/>
      <c r="F142" s="15" t="str">
        <f>IFERROR(INDEX('Reference Data'!$D$2:$D$6,MATCH($G142,'Reference Data'!$E$2:$E$6,0)),"")</f>
        <v/>
      </c>
      <c r="G142" s="21" t="str">
        <f>IF($D142="Scale",'Reference Data'!$H$2,"")</f>
        <v/>
      </c>
      <c r="H142" s="17" t="str">
        <f>IFERROR(INDEX('Reference Data'!$D$2:$D$6,MATCH($I142,'Reference Data'!$E$2:$E$6,0)),"")</f>
        <v/>
      </c>
      <c r="I142" s="21" t="str">
        <f>IF($G142="","",MEDIAN('Reference Data'!$H$1,'Reference Data'!$H$2,$G142+1*IF($G142='Reference Data'!$H$2,1,-1)))</f>
        <v/>
      </c>
      <c r="J142" s="17" t="str">
        <f>IFERROR(INDEX('Reference Data'!$D$2:$D$6,MATCH($K142,'Reference Data'!$E$2:$E$6,0)),"")</f>
        <v/>
      </c>
      <c r="K142" s="21" t="str">
        <f>IF($G142="","",MEDIAN('Reference Data'!$H$1,'Reference Data'!$H$2,$G142+2*IF($G142='Reference Data'!$H$2,1,-1)))</f>
        <v/>
      </c>
      <c r="L142" s="17" t="str">
        <f>IFERROR(INDEX('Reference Data'!$D$2:$D$6,MATCH($M142,'Reference Data'!$E$2:$E$6,0)),"")</f>
        <v/>
      </c>
      <c r="M142" s="21" t="str">
        <f>IF($G142="","",MEDIAN('Reference Data'!$H$1,'Reference Data'!$H$2,$G142+3*IF($G142='Reference Data'!$H$2,1,-1)))</f>
        <v/>
      </c>
      <c r="N142" s="18" t="str">
        <f>IFERROR(INDEX('Reference Data'!$D$2:$D$6,MATCH($O142,'Reference Data'!$E$2:$E$6,0)),"")</f>
        <v/>
      </c>
      <c r="O142" s="22" t="str">
        <f>IF($G142="","",MEDIAN('Reference Data'!$H$1,'Reference Data'!$H$2,$G142+4*IF($G142='Reference Data'!$H$2,1,-1)))</f>
        <v/>
      </c>
      <c r="P142" s="15"/>
      <c r="Q142" s="18"/>
      <c r="R142" s="20"/>
      <c r="S142" s="39" t="str">
        <f>IF($D142="","",IF($D142='Reference Data'!$A$11,"",IFERROR(IF(VLOOKUP($D142,'Reference Data'!$A$9:$C$11,3,FALSE)="",1,VLOOKUP($D142,'Reference Data'!$A$9:$C$11,3,FALSE)),1)))</f>
        <v/>
      </c>
      <c r="T142" s="40" t="str">
        <f>IF($D142="","",IFERROR(VLOOKUP($D142,'Reference Data'!$A$9:$B$11,2,FALSE),""))</f>
        <v/>
      </c>
      <c r="U142" s="15"/>
    </row>
    <row r="143" spans="1:21" ht="22.05" customHeight="1" x14ac:dyDescent="0.4">
      <c r="A143" s="43"/>
      <c r="B143" s="46"/>
      <c r="C143" s="12"/>
      <c r="D143" s="13"/>
      <c r="E143" s="14"/>
      <c r="F143" s="15" t="str">
        <f>IFERROR(INDEX('Reference Data'!$D$2:$D$6,MATCH($G143,'Reference Data'!$E$2:$E$6,0)),"")</f>
        <v/>
      </c>
      <c r="G143" s="21" t="str">
        <f>IF($D143="Scale",'Reference Data'!$H$2,"")</f>
        <v/>
      </c>
      <c r="H143" s="17" t="str">
        <f>IFERROR(INDEX('Reference Data'!$D$2:$D$6,MATCH($I143,'Reference Data'!$E$2:$E$6,0)),"")</f>
        <v/>
      </c>
      <c r="I143" s="21" t="str">
        <f>IF($G143="","",MEDIAN('Reference Data'!$H$1,'Reference Data'!$H$2,$G143+1*IF($G143='Reference Data'!$H$2,1,-1)))</f>
        <v/>
      </c>
      <c r="J143" s="17" t="str">
        <f>IFERROR(INDEX('Reference Data'!$D$2:$D$6,MATCH($K143,'Reference Data'!$E$2:$E$6,0)),"")</f>
        <v/>
      </c>
      <c r="K143" s="21" t="str">
        <f>IF($G143="","",MEDIAN('Reference Data'!$H$1,'Reference Data'!$H$2,$G143+2*IF($G143='Reference Data'!$H$2,1,-1)))</f>
        <v/>
      </c>
      <c r="L143" s="17" t="str">
        <f>IFERROR(INDEX('Reference Data'!$D$2:$D$6,MATCH($M143,'Reference Data'!$E$2:$E$6,0)),"")</f>
        <v/>
      </c>
      <c r="M143" s="21" t="str">
        <f>IF($G143="","",MEDIAN('Reference Data'!$H$1,'Reference Data'!$H$2,$G143+3*IF($G143='Reference Data'!$H$2,1,-1)))</f>
        <v/>
      </c>
      <c r="N143" s="18" t="str">
        <f>IFERROR(INDEX('Reference Data'!$D$2:$D$6,MATCH($O143,'Reference Data'!$E$2:$E$6,0)),"")</f>
        <v/>
      </c>
      <c r="O143" s="22" t="str">
        <f>IF($G143="","",MEDIAN('Reference Data'!$H$1,'Reference Data'!$H$2,$G143+4*IF($G143='Reference Data'!$H$2,1,-1)))</f>
        <v/>
      </c>
      <c r="P143" s="15"/>
      <c r="Q143" s="18"/>
      <c r="R143" s="20"/>
      <c r="S143" s="39" t="str">
        <f>IF($D143="","",IF($D143='Reference Data'!$A$11,"",IFERROR(IF(VLOOKUP($D143,'Reference Data'!$A$9:$C$11,3,FALSE)="",1,VLOOKUP($D143,'Reference Data'!$A$9:$C$11,3,FALSE)),1)))</f>
        <v/>
      </c>
      <c r="T143" s="40" t="str">
        <f>IF($D143="","",IFERROR(VLOOKUP($D143,'Reference Data'!$A$9:$B$11,2,FALSE),""))</f>
        <v/>
      </c>
      <c r="U143" s="15"/>
    </row>
    <row r="144" spans="1:21" ht="22.05" customHeight="1" x14ac:dyDescent="0.4">
      <c r="A144" s="43"/>
      <c r="B144" s="46"/>
      <c r="C144" s="12"/>
      <c r="D144" s="13"/>
      <c r="E144" s="14"/>
      <c r="F144" s="15" t="str">
        <f>IFERROR(INDEX('Reference Data'!$D$2:$D$6,MATCH($G144,'Reference Data'!$E$2:$E$6,0)),"")</f>
        <v/>
      </c>
      <c r="G144" s="21" t="str">
        <f>IF($D144="Scale",'Reference Data'!$H$2,"")</f>
        <v/>
      </c>
      <c r="H144" s="17" t="str">
        <f>IFERROR(INDEX('Reference Data'!$D$2:$D$6,MATCH($I144,'Reference Data'!$E$2:$E$6,0)),"")</f>
        <v/>
      </c>
      <c r="I144" s="21" t="str">
        <f>IF($G144="","",MEDIAN('Reference Data'!$H$1,'Reference Data'!$H$2,$G144+1*IF($G144='Reference Data'!$H$2,1,-1)))</f>
        <v/>
      </c>
      <c r="J144" s="17" t="str">
        <f>IFERROR(INDEX('Reference Data'!$D$2:$D$6,MATCH($K144,'Reference Data'!$E$2:$E$6,0)),"")</f>
        <v/>
      </c>
      <c r="K144" s="21" t="str">
        <f>IF($G144="","",MEDIAN('Reference Data'!$H$1,'Reference Data'!$H$2,$G144+2*IF($G144='Reference Data'!$H$2,1,-1)))</f>
        <v/>
      </c>
      <c r="L144" s="17" t="str">
        <f>IFERROR(INDEX('Reference Data'!$D$2:$D$6,MATCH($M144,'Reference Data'!$E$2:$E$6,0)),"")</f>
        <v/>
      </c>
      <c r="M144" s="21" t="str">
        <f>IF($G144="","",MEDIAN('Reference Data'!$H$1,'Reference Data'!$H$2,$G144+3*IF($G144='Reference Data'!$H$2,1,-1)))</f>
        <v/>
      </c>
      <c r="N144" s="18" t="str">
        <f>IFERROR(INDEX('Reference Data'!$D$2:$D$6,MATCH($O144,'Reference Data'!$E$2:$E$6,0)),"")</f>
        <v/>
      </c>
      <c r="O144" s="22" t="str">
        <f>IF($G144="","",MEDIAN('Reference Data'!$H$1,'Reference Data'!$H$2,$G144+4*IF($G144='Reference Data'!$H$2,1,-1)))</f>
        <v/>
      </c>
      <c r="P144" s="15"/>
      <c r="Q144" s="18"/>
      <c r="R144" s="20"/>
      <c r="S144" s="39" t="str">
        <f>IF($D144="","",IF($D144='Reference Data'!$A$11,"",IFERROR(IF(VLOOKUP($D144,'Reference Data'!$A$9:$C$11,3,FALSE)="",1,VLOOKUP($D144,'Reference Data'!$A$9:$C$11,3,FALSE)),1)))</f>
        <v/>
      </c>
      <c r="T144" s="40" t="str">
        <f>IF($D144="","",IFERROR(VLOOKUP($D144,'Reference Data'!$A$9:$B$11,2,FALSE),""))</f>
        <v/>
      </c>
      <c r="U144" s="15"/>
    </row>
    <row r="145" spans="1:21" ht="22.05" customHeight="1" x14ac:dyDescent="0.4">
      <c r="A145" s="43"/>
      <c r="B145" s="46"/>
      <c r="C145" s="12"/>
      <c r="D145" s="13"/>
      <c r="E145" s="14"/>
      <c r="F145" s="15" t="str">
        <f>IFERROR(INDEX('Reference Data'!$D$2:$D$6,MATCH($G145,'Reference Data'!$E$2:$E$6,0)),"")</f>
        <v/>
      </c>
      <c r="G145" s="21" t="str">
        <f>IF($D145="Scale",'Reference Data'!$H$2,"")</f>
        <v/>
      </c>
      <c r="H145" s="17" t="str">
        <f>IFERROR(INDEX('Reference Data'!$D$2:$D$6,MATCH($I145,'Reference Data'!$E$2:$E$6,0)),"")</f>
        <v/>
      </c>
      <c r="I145" s="21" t="str">
        <f>IF($G145="","",MEDIAN('Reference Data'!$H$1,'Reference Data'!$H$2,$G145+1*IF($G145='Reference Data'!$H$2,1,-1)))</f>
        <v/>
      </c>
      <c r="J145" s="17" t="str">
        <f>IFERROR(INDEX('Reference Data'!$D$2:$D$6,MATCH($K145,'Reference Data'!$E$2:$E$6,0)),"")</f>
        <v/>
      </c>
      <c r="K145" s="21" t="str">
        <f>IF($G145="","",MEDIAN('Reference Data'!$H$1,'Reference Data'!$H$2,$G145+2*IF($G145='Reference Data'!$H$2,1,-1)))</f>
        <v/>
      </c>
      <c r="L145" s="17" t="str">
        <f>IFERROR(INDEX('Reference Data'!$D$2:$D$6,MATCH($M145,'Reference Data'!$E$2:$E$6,0)),"")</f>
        <v/>
      </c>
      <c r="M145" s="21" t="str">
        <f>IF($G145="","",MEDIAN('Reference Data'!$H$1,'Reference Data'!$H$2,$G145+3*IF($G145='Reference Data'!$H$2,1,-1)))</f>
        <v/>
      </c>
      <c r="N145" s="18" t="str">
        <f>IFERROR(INDEX('Reference Data'!$D$2:$D$6,MATCH($O145,'Reference Data'!$E$2:$E$6,0)),"")</f>
        <v/>
      </c>
      <c r="O145" s="22" t="str">
        <f>IF($G145="","",MEDIAN('Reference Data'!$H$1,'Reference Data'!$H$2,$G145+4*IF($G145='Reference Data'!$H$2,1,-1)))</f>
        <v/>
      </c>
      <c r="P145" s="15"/>
      <c r="Q145" s="18"/>
      <c r="R145" s="20"/>
      <c r="S145" s="39" t="str">
        <f>IF($D145="","",IF($D145='Reference Data'!$A$11,"",IFERROR(IF(VLOOKUP($D145,'Reference Data'!$A$9:$C$11,3,FALSE)="",1,VLOOKUP($D145,'Reference Data'!$A$9:$C$11,3,FALSE)),1)))</f>
        <v/>
      </c>
      <c r="T145" s="40" t="str">
        <f>IF($D145="","",IFERROR(VLOOKUP($D145,'Reference Data'!$A$9:$B$11,2,FALSE),""))</f>
        <v/>
      </c>
      <c r="U145" s="15"/>
    </row>
    <row r="146" spans="1:21" ht="22.05" customHeight="1" x14ac:dyDescent="0.4">
      <c r="A146" s="43"/>
      <c r="B146" s="46"/>
      <c r="C146" s="12"/>
      <c r="D146" s="13"/>
      <c r="E146" s="14"/>
      <c r="F146" s="15" t="str">
        <f>IFERROR(INDEX('Reference Data'!$D$2:$D$6,MATCH($G146,'Reference Data'!$E$2:$E$6,0)),"")</f>
        <v/>
      </c>
      <c r="G146" s="21" t="str">
        <f>IF($D146="Scale",'Reference Data'!$H$2,"")</f>
        <v/>
      </c>
      <c r="H146" s="17" t="str">
        <f>IFERROR(INDEX('Reference Data'!$D$2:$D$6,MATCH($I146,'Reference Data'!$E$2:$E$6,0)),"")</f>
        <v/>
      </c>
      <c r="I146" s="21" t="str">
        <f>IF($G146="","",MEDIAN('Reference Data'!$H$1,'Reference Data'!$H$2,$G146+1*IF($G146='Reference Data'!$H$2,1,-1)))</f>
        <v/>
      </c>
      <c r="J146" s="17" t="str">
        <f>IFERROR(INDEX('Reference Data'!$D$2:$D$6,MATCH($K146,'Reference Data'!$E$2:$E$6,0)),"")</f>
        <v/>
      </c>
      <c r="K146" s="21" t="str">
        <f>IF($G146="","",MEDIAN('Reference Data'!$H$1,'Reference Data'!$H$2,$G146+2*IF($G146='Reference Data'!$H$2,1,-1)))</f>
        <v/>
      </c>
      <c r="L146" s="17" t="str">
        <f>IFERROR(INDEX('Reference Data'!$D$2:$D$6,MATCH($M146,'Reference Data'!$E$2:$E$6,0)),"")</f>
        <v/>
      </c>
      <c r="M146" s="21" t="str">
        <f>IF($G146="","",MEDIAN('Reference Data'!$H$1,'Reference Data'!$H$2,$G146+3*IF($G146='Reference Data'!$H$2,1,-1)))</f>
        <v/>
      </c>
      <c r="N146" s="18" t="str">
        <f>IFERROR(INDEX('Reference Data'!$D$2:$D$6,MATCH($O146,'Reference Data'!$E$2:$E$6,0)),"")</f>
        <v/>
      </c>
      <c r="O146" s="22" t="str">
        <f>IF($G146="","",MEDIAN('Reference Data'!$H$1,'Reference Data'!$H$2,$G146+4*IF($G146='Reference Data'!$H$2,1,-1)))</f>
        <v/>
      </c>
      <c r="P146" s="15"/>
      <c r="Q146" s="18"/>
      <c r="R146" s="20"/>
      <c r="S146" s="39" t="str">
        <f>IF($D146="","",IF($D146='Reference Data'!$A$11,"",IFERROR(IF(VLOOKUP($D146,'Reference Data'!$A$9:$C$11,3,FALSE)="",1,VLOOKUP($D146,'Reference Data'!$A$9:$C$11,3,FALSE)),1)))</f>
        <v/>
      </c>
      <c r="T146" s="40" t="str">
        <f>IF($D146="","",IFERROR(VLOOKUP($D146,'Reference Data'!$A$9:$B$11,2,FALSE),""))</f>
        <v/>
      </c>
      <c r="U146" s="15"/>
    </row>
    <row r="147" spans="1:21" ht="22.05" customHeight="1" x14ac:dyDescent="0.4">
      <c r="A147" s="43"/>
      <c r="B147" s="46"/>
      <c r="C147" s="12"/>
      <c r="D147" s="13"/>
      <c r="E147" s="14"/>
      <c r="F147" s="15" t="str">
        <f>IFERROR(INDEX('Reference Data'!$D$2:$D$6,MATCH($G147,'Reference Data'!$E$2:$E$6,0)),"")</f>
        <v/>
      </c>
      <c r="G147" s="21" t="str">
        <f>IF($D147="Scale",'Reference Data'!$H$2,"")</f>
        <v/>
      </c>
      <c r="H147" s="17" t="str">
        <f>IFERROR(INDEX('Reference Data'!$D$2:$D$6,MATCH($I147,'Reference Data'!$E$2:$E$6,0)),"")</f>
        <v/>
      </c>
      <c r="I147" s="21" t="str">
        <f>IF($G147="","",MEDIAN('Reference Data'!$H$1,'Reference Data'!$H$2,$G147+1*IF($G147='Reference Data'!$H$2,1,-1)))</f>
        <v/>
      </c>
      <c r="J147" s="17" t="str">
        <f>IFERROR(INDEX('Reference Data'!$D$2:$D$6,MATCH($K147,'Reference Data'!$E$2:$E$6,0)),"")</f>
        <v/>
      </c>
      <c r="K147" s="21" t="str">
        <f>IF($G147="","",MEDIAN('Reference Data'!$H$1,'Reference Data'!$H$2,$G147+2*IF($G147='Reference Data'!$H$2,1,-1)))</f>
        <v/>
      </c>
      <c r="L147" s="17" t="str">
        <f>IFERROR(INDEX('Reference Data'!$D$2:$D$6,MATCH($M147,'Reference Data'!$E$2:$E$6,0)),"")</f>
        <v/>
      </c>
      <c r="M147" s="21" t="str">
        <f>IF($G147="","",MEDIAN('Reference Data'!$H$1,'Reference Data'!$H$2,$G147+3*IF($G147='Reference Data'!$H$2,1,-1)))</f>
        <v/>
      </c>
      <c r="N147" s="18" t="str">
        <f>IFERROR(INDEX('Reference Data'!$D$2:$D$6,MATCH($O147,'Reference Data'!$E$2:$E$6,0)),"")</f>
        <v/>
      </c>
      <c r="O147" s="22" t="str">
        <f>IF($G147="","",MEDIAN('Reference Data'!$H$1,'Reference Data'!$H$2,$G147+4*IF($G147='Reference Data'!$H$2,1,-1)))</f>
        <v/>
      </c>
      <c r="P147" s="15"/>
      <c r="Q147" s="18"/>
      <c r="R147" s="20"/>
      <c r="S147" s="39" t="str">
        <f>IF($D147="","",IF($D147='Reference Data'!$A$11,"",IFERROR(IF(VLOOKUP($D147,'Reference Data'!$A$9:$C$11,3,FALSE)="",1,VLOOKUP($D147,'Reference Data'!$A$9:$C$11,3,FALSE)),1)))</f>
        <v/>
      </c>
      <c r="T147" s="40" t="str">
        <f>IF($D147="","",IFERROR(VLOOKUP($D147,'Reference Data'!$A$9:$B$11,2,FALSE),""))</f>
        <v/>
      </c>
      <c r="U147" s="15"/>
    </row>
    <row r="148" spans="1:21" ht="22.05" customHeight="1" x14ac:dyDescent="0.4">
      <c r="A148" s="43"/>
      <c r="B148" s="46"/>
      <c r="C148" s="12"/>
      <c r="D148" s="13"/>
      <c r="E148" s="14"/>
      <c r="F148" s="15" t="str">
        <f>IFERROR(INDEX('Reference Data'!$D$2:$D$6,MATCH($G148,'Reference Data'!$E$2:$E$6,0)),"")</f>
        <v/>
      </c>
      <c r="G148" s="21" t="str">
        <f>IF($D148="Scale",'Reference Data'!$H$2,"")</f>
        <v/>
      </c>
      <c r="H148" s="17" t="str">
        <f>IFERROR(INDEX('Reference Data'!$D$2:$D$6,MATCH($I148,'Reference Data'!$E$2:$E$6,0)),"")</f>
        <v/>
      </c>
      <c r="I148" s="21" t="str">
        <f>IF($G148="","",MEDIAN('Reference Data'!$H$1,'Reference Data'!$H$2,$G148+1*IF($G148='Reference Data'!$H$2,1,-1)))</f>
        <v/>
      </c>
      <c r="J148" s="17" t="str">
        <f>IFERROR(INDEX('Reference Data'!$D$2:$D$6,MATCH($K148,'Reference Data'!$E$2:$E$6,0)),"")</f>
        <v/>
      </c>
      <c r="K148" s="21" t="str">
        <f>IF($G148="","",MEDIAN('Reference Data'!$H$1,'Reference Data'!$H$2,$G148+2*IF($G148='Reference Data'!$H$2,1,-1)))</f>
        <v/>
      </c>
      <c r="L148" s="17" t="str">
        <f>IFERROR(INDEX('Reference Data'!$D$2:$D$6,MATCH($M148,'Reference Data'!$E$2:$E$6,0)),"")</f>
        <v/>
      </c>
      <c r="M148" s="21" t="str">
        <f>IF($G148="","",MEDIAN('Reference Data'!$H$1,'Reference Data'!$H$2,$G148+3*IF($G148='Reference Data'!$H$2,1,-1)))</f>
        <v/>
      </c>
      <c r="N148" s="18" t="str">
        <f>IFERROR(INDEX('Reference Data'!$D$2:$D$6,MATCH($O148,'Reference Data'!$E$2:$E$6,0)),"")</f>
        <v/>
      </c>
      <c r="O148" s="22" t="str">
        <f>IF($G148="","",MEDIAN('Reference Data'!$H$1,'Reference Data'!$H$2,$G148+4*IF($G148='Reference Data'!$H$2,1,-1)))</f>
        <v/>
      </c>
      <c r="P148" s="15"/>
      <c r="Q148" s="18"/>
      <c r="R148" s="20"/>
      <c r="S148" s="39" t="str">
        <f>IF($D148="","",IF($D148='Reference Data'!$A$11,"",IFERROR(IF(VLOOKUP($D148,'Reference Data'!$A$9:$C$11,3,FALSE)="",1,VLOOKUP($D148,'Reference Data'!$A$9:$C$11,3,FALSE)),1)))</f>
        <v/>
      </c>
      <c r="T148" s="40" t="str">
        <f>IF($D148="","",IFERROR(VLOOKUP($D148,'Reference Data'!$A$9:$B$11,2,FALSE),""))</f>
        <v/>
      </c>
      <c r="U148" s="15"/>
    </row>
    <row r="149" spans="1:21" ht="22.05" customHeight="1" x14ac:dyDescent="0.4">
      <c r="A149" s="43"/>
      <c r="B149" s="46"/>
      <c r="C149" s="12"/>
      <c r="D149" s="13"/>
      <c r="E149" s="14"/>
      <c r="F149" s="15" t="str">
        <f>IFERROR(INDEX('Reference Data'!$D$2:$D$6,MATCH($G149,'Reference Data'!$E$2:$E$6,0)),"")</f>
        <v/>
      </c>
      <c r="G149" s="21" t="str">
        <f>IF($D149="Scale",'Reference Data'!$H$2,"")</f>
        <v/>
      </c>
      <c r="H149" s="17" t="str">
        <f>IFERROR(INDEX('Reference Data'!$D$2:$D$6,MATCH($I149,'Reference Data'!$E$2:$E$6,0)),"")</f>
        <v/>
      </c>
      <c r="I149" s="21" t="str">
        <f>IF($G149="","",MEDIAN('Reference Data'!$H$1,'Reference Data'!$H$2,$G149+1*IF($G149='Reference Data'!$H$2,1,-1)))</f>
        <v/>
      </c>
      <c r="J149" s="17" t="str">
        <f>IFERROR(INDEX('Reference Data'!$D$2:$D$6,MATCH($K149,'Reference Data'!$E$2:$E$6,0)),"")</f>
        <v/>
      </c>
      <c r="K149" s="21" t="str">
        <f>IF($G149="","",MEDIAN('Reference Data'!$H$1,'Reference Data'!$H$2,$G149+2*IF($G149='Reference Data'!$H$2,1,-1)))</f>
        <v/>
      </c>
      <c r="L149" s="17" t="str">
        <f>IFERROR(INDEX('Reference Data'!$D$2:$D$6,MATCH($M149,'Reference Data'!$E$2:$E$6,0)),"")</f>
        <v/>
      </c>
      <c r="M149" s="21" t="str">
        <f>IF($G149="","",MEDIAN('Reference Data'!$H$1,'Reference Data'!$H$2,$G149+3*IF($G149='Reference Data'!$H$2,1,-1)))</f>
        <v/>
      </c>
      <c r="N149" s="18" t="str">
        <f>IFERROR(INDEX('Reference Data'!$D$2:$D$6,MATCH($O149,'Reference Data'!$E$2:$E$6,0)),"")</f>
        <v/>
      </c>
      <c r="O149" s="22" t="str">
        <f>IF($G149="","",MEDIAN('Reference Data'!$H$1,'Reference Data'!$H$2,$G149+4*IF($G149='Reference Data'!$H$2,1,-1)))</f>
        <v/>
      </c>
      <c r="P149" s="15"/>
      <c r="Q149" s="18"/>
      <c r="R149" s="20"/>
      <c r="S149" s="39" t="str">
        <f>IF($D149="","",IF($D149='Reference Data'!$A$11,"",IFERROR(IF(VLOOKUP($D149,'Reference Data'!$A$9:$C$11,3,FALSE)="",1,VLOOKUP($D149,'Reference Data'!$A$9:$C$11,3,FALSE)),1)))</f>
        <v/>
      </c>
      <c r="T149" s="40" t="str">
        <f>IF($D149="","",IFERROR(VLOOKUP($D149,'Reference Data'!$A$9:$B$11,2,FALSE),""))</f>
        <v/>
      </c>
      <c r="U149" s="15"/>
    </row>
    <row r="150" spans="1:21" ht="22.05" customHeight="1" x14ac:dyDescent="0.4">
      <c r="A150" s="43"/>
      <c r="B150" s="46"/>
      <c r="C150" s="12"/>
      <c r="D150" s="13"/>
      <c r="E150" s="14"/>
      <c r="F150" s="15" t="str">
        <f>IFERROR(INDEX('Reference Data'!$D$2:$D$6,MATCH($G150,'Reference Data'!$E$2:$E$6,0)),"")</f>
        <v/>
      </c>
      <c r="G150" s="21" t="str">
        <f>IF($D150="Scale",'Reference Data'!$H$2,"")</f>
        <v/>
      </c>
      <c r="H150" s="17" t="str">
        <f>IFERROR(INDEX('Reference Data'!$D$2:$D$6,MATCH($I150,'Reference Data'!$E$2:$E$6,0)),"")</f>
        <v/>
      </c>
      <c r="I150" s="21" t="str">
        <f>IF($G150="","",MEDIAN('Reference Data'!$H$1,'Reference Data'!$H$2,$G150+1*IF($G150='Reference Data'!$H$2,1,-1)))</f>
        <v/>
      </c>
      <c r="J150" s="17" t="str">
        <f>IFERROR(INDEX('Reference Data'!$D$2:$D$6,MATCH($K150,'Reference Data'!$E$2:$E$6,0)),"")</f>
        <v/>
      </c>
      <c r="K150" s="21" t="str">
        <f>IF($G150="","",MEDIAN('Reference Data'!$H$1,'Reference Data'!$H$2,$G150+2*IF($G150='Reference Data'!$H$2,1,-1)))</f>
        <v/>
      </c>
      <c r="L150" s="17" t="str">
        <f>IFERROR(INDEX('Reference Data'!$D$2:$D$6,MATCH($M150,'Reference Data'!$E$2:$E$6,0)),"")</f>
        <v/>
      </c>
      <c r="M150" s="21" t="str">
        <f>IF($G150="","",MEDIAN('Reference Data'!$H$1,'Reference Data'!$H$2,$G150+3*IF($G150='Reference Data'!$H$2,1,-1)))</f>
        <v/>
      </c>
      <c r="N150" s="18" t="str">
        <f>IFERROR(INDEX('Reference Data'!$D$2:$D$6,MATCH($O150,'Reference Data'!$E$2:$E$6,0)),"")</f>
        <v/>
      </c>
      <c r="O150" s="22" t="str">
        <f>IF($G150="","",MEDIAN('Reference Data'!$H$1,'Reference Data'!$H$2,$G150+4*IF($G150='Reference Data'!$H$2,1,-1)))</f>
        <v/>
      </c>
      <c r="P150" s="15"/>
      <c r="Q150" s="18"/>
      <c r="R150" s="20"/>
      <c r="S150" s="39" t="str">
        <f>IF($D150="","",IF($D150='Reference Data'!$A$11,"",IFERROR(IF(VLOOKUP($D150,'Reference Data'!$A$9:$C$11,3,FALSE)="",1,VLOOKUP($D150,'Reference Data'!$A$9:$C$11,3,FALSE)),1)))</f>
        <v/>
      </c>
      <c r="T150" s="40" t="str">
        <f>IF($D150="","",IFERROR(VLOOKUP($D150,'Reference Data'!$A$9:$B$11,2,FALSE),""))</f>
        <v/>
      </c>
      <c r="U150" s="15"/>
    </row>
    <row r="151" spans="1:21" ht="22.05" customHeight="1" x14ac:dyDescent="0.4">
      <c r="A151" s="43"/>
      <c r="B151" s="46"/>
      <c r="C151" s="12"/>
      <c r="D151" s="13"/>
      <c r="E151" s="14"/>
      <c r="F151" s="15" t="str">
        <f>IFERROR(INDEX('Reference Data'!$D$2:$D$6,MATCH($G151,'Reference Data'!$E$2:$E$6,0)),"")</f>
        <v/>
      </c>
      <c r="G151" s="21" t="str">
        <f>IF($D151="Scale",'Reference Data'!$H$2,"")</f>
        <v/>
      </c>
      <c r="H151" s="17" t="str">
        <f>IFERROR(INDEX('Reference Data'!$D$2:$D$6,MATCH($I151,'Reference Data'!$E$2:$E$6,0)),"")</f>
        <v/>
      </c>
      <c r="I151" s="21" t="str">
        <f>IF($G151="","",MEDIAN('Reference Data'!$H$1,'Reference Data'!$H$2,$G151+1*IF($G151='Reference Data'!$H$2,1,-1)))</f>
        <v/>
      </c>
      <c r="J151" s="17" t="str">
        <f>IFERROR(INDEX('Reference Data'!$D$2:$D$6,MATCH($K151,'Reference Data'!$E$2:$E$6,0)),"")</f>
        <v/>
      </c>
      <c r="K151" s="21" t="str">
        <f>IF($G151="","",MEDIAN('Reference Data'!$H$1,'Reference Data'!$H$2,$G151+2*IF($G151='Reference Data'!$H$2,1,-1)))</f>
        <v/>
      </c>
      <c r="L151" s="17" t="str">
        <f>IFERROR(INDEX('Reference Data'!$D$2:$D$6,MATCH($M151,'Reference Data'!$E$2:$E$6,0)),"")</f>
        <v/>
      </c>
      <c r="M151" s="21" t="str">
        <f>IF($G151="","",MEDIAN('Reference Data'!$H$1,'Reference Data'!$H$2,$G151+3*IF($G151='Reference Data'!$H$2,1,-1)))</f>
        <v/>
      </c>
      <c r="N151" s="18" t="str">
        <f>IFERROR(INDEX('Reference Data'!$D$2:$D$6,MATCH($O151,'Reference Data'!$E$2:$E$6,0)),"")</f>
        <v/>
      </c>
      <c r="O151" s="22" t="str">
        <f>IF($G151="","",MEDIAN('Reference Data'!$H$1,'Reference Data'!$H$2,$G151+4*IF($G151='Reference Data'!$H$2,1,-1)))</f>
        <v/>
      </c>
      <c r="P151" s="15"/>
      <c r="Q151" s="18"/>
      <c r="R151" s="20"/>
      <c r="S151" s="39" t="str">
        <f>IF($D151="","",IF($D151='Reference Data'!$A$11,"",IFERROR(IF(VLOOKUP($D151,'Reference Data'!$A$9:$C$11,3,FALSE)="",1,VLOOKUP($D151,'Reference Data'!$A$9:$C$11,3,FALSE)),1)))</f>
        <v/>
      </c>
      <c r="T151" s="40" t="str">
        <f>IF($D151="","",IFERROR(VLOOKUP($D151,'Reference Data'!$A$9:$B$11,2,FALSE),""))</f>
        <v/>
      </c>
      <c r="U151" s="15"/>
    </row>
    <row r="152" spans="1:21" ht="22.05" customHeight="1" x14ac:dyDescent="0.4">
      <c r="A152" s="43"/>
      <c r="B152" s="46"/>
      <c r="C152" s="12"/>
      <c r="D152" s="13"/>
      <c r="E152" s="14"/>
      <c r="F152" s="15" t="str">
        <f>IFERROR(INDEX('Reference Data'!$D$2:$D$6,MATCH($G152,'Reference Data'!$E$2:$E$6,0)),"")</f>
        <v/>
      </c>
      <c r="G152" s="21" t="str">
        <f>IF($D152="Scale",'Reference Data'!$H$2,"")</f>
        <v/>
      </c>
      <c r="H152" s="17" t="str">
        <f>IFERROR(INDEX('Reference Data'!$D$2:$D$6,MATCH($I152,'Reference Data'!$E$2:$E$6,0)),"")</f>
        <v/>
      </c>
      <c r="I152" s="21" t="str">
        <f>IF($G152="","",MEDIAN('Reference Data'!$H$1,'Reference Data'!$H$2,$G152+1*IF($G152='Reference Data'!$H$2,1,-1)))</f>
        <v/>
      </c>
      <c r="J152" s="17" t="str">
        <f>IFERROR(INDEX('Reference Data'!$D$2:$D$6,MATCH($K152,'Reference Data'!$E$2:$E$6,0)),"")</f>
        <v/>
      </c>
      <c r="K152" s="21" t="str">
        <f>IF($G152="","",MEDIAN('Reference Data'!$H$1,'Reference Data'!$H$2,$G152+2*IF($G152='Reference Data'!$H$2,1,-1)))</f>
        <v/>
      </c>
      <c r="L152" s="17" t="str">
        <f>IFERROR(INDEX('Reference Data'!$D$2:$D$6,MATCH($M152,'Reference Data'!$E$2:$E$6,0)),"")</f>
        <v/>
      </c>
      <c r="M152" s="21" t="str">
        <f>IF($G152="","",MEDIAN('Reference Data'!$H$1,'Reference Data'!$H$2,$G152+3*IF($G152='Reference Data'!$H$2,1,-1)))</f>
        <v/>
      </c>
      <c r="N152" s="18" t="str">
        <f>IFERROR(INDEX('Reference Data'!$D$2:$D$6,MATCH($O152,'Reference Data'!$E$2:$E$6,0)),"")</f>
        <v/>
      </c>
      <c r="O152" s="22" t="str">
        <f>IF($G152="","",MEDIAN('Reference Data'!$H$1,'Reference Data'!$H$2,$G152+4*IF($G152='Reference Data'!$H$2,1,-1)))</f>
        <v/>
      </c>
      <c r="P152" s="15"/>
      <c r="Q152" s="18"/>
      <c r="R152" s="20"/>
      <c r="S152" s="39" t="str">
        <f>IF($D152="","",IF($D152='Reference Data'!$A$11,"",IFERROR(IF(VLOOKUP($D152,'Reference Data'!$A$9:$C$11,3,FALSE)="",1,VLOOKUP($D152,'Reference Data'!$A$9:$C$11,3,FALSE)),1)))</f>
        <v/>
      </c>
      <c r="T152" s="40" t="str">
        <f>IF($D152="","",IFERROR(VLOOKUP($D152,'Reference Data'!$A$9:$B$11,2,FALSE),""))</f>
        <v/>
      </c>
      <c r="U152" s="15"/>
    </row>
    <row r="153" spans="1:21" ht="22.05" customHeight="1" x14ac:dyDescent="0.4">
      <c r="A153" s="43"/>
      <c r="B153" s="46"/>
      <c r="C153" s="12"/>
      <c r="D153" s="13"/>
      <c r="E153" s="14"/>
      <c r="F153" s="15" t="str">
        <f>IFERROR(INDEX('Reference Data'!$D$2:$D$6,MATCH($G153,'Reference Data'!$E$2:$E$6,0)),"")</f>
        <v/>
      </c>
      <c r="G153" s="21" t="str">
        <f>IF($D153="Scale",'Reference Data'!$H$2,"")</f>
        <v/>
      </c>
      <c r="H153" s="17" t="str">
        <f>IFERROR(INDEX('Reference Data'!$D$2:$D$6,MATCH($I153,'Reference Data'!$E$2:$E$6,0)),"")</f>
        <v/>
      </c>
      <c r="I153" s="21" t="str">
        <f>IF($G153="","",MEDIAN('Reference Data'!$H$1,'Reference Data'!$H$2,$G153+1*IF($G153='Reference Data'!$H$2,1,-1)))</f>
        <v/>
      </c>
      <c r="J153" s="17" t="str">
        <f>IFERROR(INDEX('Reference Data'!$D$2:$D$6,MATCH($K153,'Reference Data'!$E$2:$E$6,0)),"")</f>
        <v/>
      </c>
      <c r="K153" s="21" t="str">
        <f>IF($G153="","",MEDIAN('Reference Data'!$H$1,'Reference Data'!$H$2,$G153+2*IF($G153='Reference Data'!$H$2,1,-1)))</f>
        <v/>
      </c>
      <c r="L153" s="17" t="str">
        <f>IFERROR(INDEX('Reference Data'!$D$2:$D$6,MATCH($M153,'Reference Data'!$E$2:$E$6,0)),"")</f>
        <v/>
      </c>
      <c r="M153" s="21" t="str">
        <f>IF($G153="","",MEDIAN('Reference Data'!$H$1,'Reference Data'!$H$2,$G153+3*IF($G153='Reference Data'!$H$2,1,-1)))</f>
        <v/>
      </c>
      <c r="N153" s="18" t="str">
        <f>IFERROR(INDEX('Reference Data'!$D$2:$D$6,MATCH($O153,'Reference Data'!$E$2:$E$6,0)),"")</f>
        <v/>
      </c>
      <c r="O153" s="22" t="str">
        <f>IF($G153="","",MEDIAN('Reference Data'!$H$1,'Reference Data'!$H$2,$G153+4*IF($G153='Reference Data'!$H$2,1,-1)))</f>
        <v/>
      </c>
      <c r="P153" s="15"/>
      <c r="Q153" s="18"/>
      <c r="R153" s="20"/>
      <c r="S153" s="39" t="str">
        <f>IF($D153="","",IF($D153='Reference Data'!$A$11,"",IFERROR(IF(VLOOKUP($D153,'Reference Data'!$A$9:$C$11,3,FALSE)="",1,VLOOKUP($D153,'Reference Data'!$A$9:$C$11,3,FALSE)),1)))</f>
        <v/>
      </c>
      <c r="T153" s="40" t="str">
        <f>IF($D153="","",IFERROR(VLOOKUP($D153,'Reference Data'!$A$9:$B$11,2,FALSE),""))</f>
        <v/>
      </c>
      <c r="U153" s="15"/>
    </row>
    <row r="154" spans="1:21" ht="22.05" customHeight="1" x14ac:dyDescent="0.4">
      <c r="A154" s="43"/>
      <c r="B154" s="46"/>
      <c r="C154" s="12"/>
      <c r="D154" s="13"/>
      <c r="E154" s="14"/>
      <c r="F154" s="15" t="str">
        <f>IFERROR(INDEX('Reference Data'!$D$2:$D$6,MATCH($G154,'Reference Data'!$E$2:$E$6,0)),"")</f>
        <v/>
      </c>
      <c r="G154" s="21" t="str">
        <f>IF($D154="Scale",'Reference Data'!$H$2,"")</f>
        <v/>
      </c>
      <c r="H154" s="17" t="str">
        <f>IFERROR(INDEX('Reference Data'!$D$2:$D$6,MATCH($I154,'Reference Data'!$E$2:$E$6,0)),"")</f>
        <v/>
      </c>
      <c r="I154" s="21" t="str">
        <f>IF($G154="","",MEDIAN('Reference Data'!$H$1,'Reference Data'!$H$2,$G154+1*IF($G154='Reference Data'!$H$2,1,-1)))</f>
        <v/>
      </c>
      <c r="J154" s="17" t="str">
        <f>IFERROR(INDEX('Reference Data'!$D$2:$D$6,MATCH($K154,'Reference Data'!$E$2:$E$6,0)),"")</f>
        <v/>
      </c>
      <c r="K154" s="21" t="str">
        <f>IF($G154="","",MEDIAN('Reference Data'!$H$1,'Reference Data'!$H$2,$G154+2*IF($G154='Reference Data'!$H$2,1,-1)))</f>
        <v/>
      </c>
      <c r="L154" s="17" t="str">
        <f>IFERROR(INDEX('Reference Data'!$D$2:$D$6,MATCH($M154,'Reference Data'!$E$2:$E$6,0)),"")</f>
        <v/>
      </c>
      <c r="M154" s="21" t="str">
        <f>IF($G154="","",MEDIAN('Reference Data'!$H$1,'Reference Data'!$H$2,$G154+3*IF($G154='Reference Data'!$H$2,1,-1)))</f>
        <v/>
      </c>
      <c r="N154" s="18" t="str">
        <f>IFERROR(INDEX('Reference Data'!$D$2:$D$6,MATCH($O154,'Reference Data'!$E$2:$E$6,0)),"")</f>
        <v/>
      </c>
      <c r="O154" s="22" t="str">
        <f>IF($G154="","",MEDIAN('Reference Data'!$H$1,'Reference Data'!$H$2,$G154+4*IF($G154='Reference Data'!$H$2,1,-1)))</f>
        <v/>
      </c>
      <c r="P154" s="15"/>
      <c r="Q154" s="18"/>
      <c r="R154" s="20"/>
      <c r="S154" s="39" t="str">
        <f>IF($D154="","",IF($D154='Reference Data'!$A$11,"",IFERROR(IF(VLOOKUP($D154,'Reference Data'!$A$9:$C$11,3,FALSE)="",1,VLOOKUP($D154,'Reference Data'!$A$9:$C$11,3,FALSE)),1)))</f>
        <v/>
      </c>
      <c r="T154" s="40" t="str">
        <f>IF($D154="","",IFERROR(VLOOKUP($D154,'Reference Data'!$A$9:$B$11,2,FALSE),""))</f>
        <v/>
      </c>
      <c r="U154" s="15"/>
    </row>
    <row r="155" spans="1:21" ht="22.05" customHeight="1" x14ac:dyDescent="0.4">
      <c r="A155" s="43"/>
      <c r="B155" s="46"/>
      <c r="C155" s="12"/>
      <c r="D155" s="13"/>
      <c r="E155" s="14"/>
      <c r="F155" s="15" t="str">
        <f>IFERROR(INDEX('Reference Data'!$D$2:$D$6,MATCH($G155,'Reference Data'!$E$2:$E$6,0)),"")</f>
        <v/>
      </c>
      <c r="G155" s="21" t="str">
        <f>IF($D155="Scale",'Reference Data'!$H$2,"")</f>
        <v/>
      </c>
      <c r="H155" s="17" t="str">
        <f>IFERROR(INDEX('Reference Data'!$D$2:$D$6,MATCH($I155,'Reference Data'!$E$2:$E$6,0)),"")</f>
        <v/>
      </c>
      <c r="I155" s="21" t="str">
        <f>IF($G155="","",MEDIAN('Reference Data'!$H$1,'Reference Data'!$H$2,$G155+1*IF($G155='Reference Data'!$H$2,1,-1)))</f>
        <v/>
      </c>
      <c r="J155" s="17" t="str">
        <f>IFERROR(INDEX('Reference Data'!$D$2:$D$6,MATCH($K155,'Reference Data'!$E$2:$E$6,0)),"")</f>
        <v/>
      </c>
      <c r="K155" s="21" t="str">
        <f>IF($G155="","",MEDIAN('Reference Data'!$H$1,'Reference Data'!$H$2,$G155+2*IF($G155='Reference Data'!$H$2,1,-1)))</f>
        <v/>
      </c>
      <c r="L155" s="17" t="str">
        <f>IFERROR(INDEX('Reference Data'!$D$2:$D$6,MATCH($M155,'Reference Data'!$E$2:$E$6,0)),"")</f>
        <v/>
      </c>
      <c r="M155" s="21" t="str">
        <f>IF($G155="","",MEDIAN('Reference Data'!$H$1,'Reference Data'!$H$2,$G155+3*IF($G155='Reference Data'!$H$2,1,-1)))</f>
        <v/>
      </c>
      <c r="N155" s="18" t="str">
        <f>IFERROR(INDEX('Reference Data'!$D$2:$D$6,MATCH($O155,'Reference Data'!$E$2:$E$6,0)),"")</f>
        <v/>
      </c>
      <c r="O155" s="22" t="str">
        <f>IF($G155="","",MEDIAN('Reference Data'!$H$1,'Reference Data'!$H$2,$G155+4*IF($G155='Reference Data'!$H$2,1,-1)))</f>
        <v/>
      </c>
      <c r="P155" s="15"/>
      <c r="Q155" s="18"/>
      <c r="R155" s="20"/>
      <c r="S155" s="39" t="str">
        <f>IF($D155="","",IF($D155='Reference Data'!$A$11,"",IFERROR(IF(VLOOKUP($D155,'Reference Data'!$A$9:$C$11,3,FALSE)="",1,VLOOKUP($D155,'Reference Data'!$A$9:$C$11,3,FALSE)),1)))</f>
        <v/>
      </c>
      <c r="T155" s="40" t="str">
        <f>IF($D155="","",IFERROR(VLOOKUP($D155,'Reference Data'!$A$9:$B$11,2,FALSE),""))</f>
        <v/>
      </c>
      <c r="U155" s="15"/>
    </row>
    <row r="156" spans="1:21" ht="22.05" customHeight="1" x14ac:dyDescent="0.4">
      <c r="A156" s="43"/>
      <c r="B156" s="46"/>
      <c r="C156" s="12"/>
      <c r="D156" s="13"/>
      <c r="E156" s="14"/>
      <c r="F156" s="15" t="str">
        <f>IFERROR(INDEX('Reference Data'!$D$2:$D$6,MATCH($G156,'Reference Data'!$E$2:$E$6,0)),"")</f>
        <v/>
      </c>
      <c r="G156" s="21" t="str">
        <f>IF($D156="Scale",'Reference Data'!$H$2,"")</f>
        <v/>
      </c>
      <c r="H156" s="17" t="str">
        <f>IFERROR(INDEX('Reference Data'!$D$2:$D$6,MATCH($I156,'Reference Data'!$E$2:$E$6,0)),"")</f>
        <v/>
      </c>
      <c r="I156" s="21" t="str">
        <f>IF($G156="","",MEDIAN('Reference Data'!$H$1,'Reference Data'!$H$2,$G156+1*IF($G156='Reference Data'!$H$2,1,-1)))</f>
        <v/>
      </c>
      <c r="J156" s="17" t="str">
        <f>IFERROR(INDEX('Reference Data'!$D$2:$D$6,MATCH($K156,'Reference Data'!$E$2:$E$6,0)),"")</f>
        <v/>
      </c>
      <c r="K156" s="21" t="str">
        <f>IF($G156="","",MEDIAN('Reference Data'!$H$1,'Reference Data'!$H$2,$G156+2*IF($G156='Reference Data'!$H$2,1,-1)))</f>
        <v/>
      </c>
      <c r="L156" s="17" t="str">
        <f>IFERROR(INDEX('Reference Data'!$D$2:$D$6,MATCH($M156,'Reference Data'!$E$2:$E$6,0)),"")</f>
        <v/>
      </c>
      <c r="M156" s="21" t="str">
        <f>IF($G156="","",MEDIAN('Reference Data'!$H$1,'Reference Data'!$H$2,$G156+3*IF($G156='Reference Data'!$H$2,1,-1)))</f>
        <v/>
      </c>
      <c r="N156" s="18" t="str">
        <f>IFERROR(INDEX('Reference Data'!$D$2:$D$6,MATCH($O156,'Reference Data'!$E$2:$E$6,0)),"")</f>
        <v/>
      </c>
      <c r="O156" s="22" t="str">
        <f>IF($G156="","",MEDIAN('Reference Data'!$H$1,'Reference Data'!$H$2,$G156+4*IF($G156='Reference Data'!$H$2,1,-1)))</f>
        <v/>
      </c>
      <c r="P156" s="15"/>
      <c r="Q156" s="18"/>
      <c r="R156" s="20"/>
      <c r="S156" s="39" t="str">
        <f>IF($D156="","",IF($D156='Reference Data'!$A$11,"",IFERROR(IF(VLOOKUP($D156,'Reference Data'!$A$9:$C$11,3,FALSE)="",1,VLOOKUP($D156,'Reference Data'!$A$9:$C$11,3,FALSE)),1)))</f>
        <v/>
      </c>
      <c r="T156" s="40" t="str">
        <f>IF($D156="","",IFERROR(VLOOKUP($D156,'Reference Data'!$A$9:$B$11,2,FALSE),""))</f>
        <v/>
      </c>
      <c r="U156" s="15"/>
    </row>
    <row r="157" spans="1:21" ht="22.05" customHeight="1" x14ac:dyDescent="0.4">
      <c r="A157" s="43"/>
      <c r="B157" s="46"/>
      <c r="C157" s="12"/>
      <c r="D157" s="13"/>
      <c r="E157" s="14"/>
      <c r="F157" s="15" t="str">
        <f>IFERROR(INDEX('Reference Data'!$D$2:$D$6,MATCH($G157,'Reference Data'!$E$2:$E$6,0)),"")</f>
        <v/>
      </c>
      <c r="G157" s="21" t="str">
        <f>IF($D157="Scale",'Reference Data'!$H$2,"")</f>
        <v/>
      </c>
      <c r="H157" s="17" t="str">
        <f>IFERROR(INDEX('Reference Data'!$D$2:$D$6,MATCH($I157,'Reference Data'!$E$2:$E$6,0)),"")</f>
        <v/>
      </c>
      <c r="I157" s="21" t="str">
        <f>IF($G157="","",MEDIAN('Reference Data'!$H$1,'Reference Data'!$H$2,$G157+1*IF($G157='Reference Data'!$H$2,1,-1)))</f>
        <v/>
      </c>
      <c r="J157" s="17" t="str">
        <f>IFERROR(INDEX('Reference Data'!$D$2:$D$6,MATCH($K157,'Reference Data'!$E$2:$E$6,0)),"")</f>
        <v/>
      </c>
      <c r="K157" s="21" t="str">
        <f>IF($G157="","",MEDIAN('Reference Data'!$H$1,'Reference Data'!$H$2,$G157+2*IF($G157='Reference Data'!$H$2,1,-1)))</f>
        <v/>
      </c>
      <c r="L157" s="17" t="str">
        <f>IFERROR(INDEX('Reference Data'!$D$2:$D$6,MATCH($M157,'Reference Data'!$E$2:$E$6,0)),"")</f>
        <v/>
      </c>
      <c r="M157" s="21" t="str">
        <f>IF($G157="","",MEDIAN('Reference Data'!$H$1,'Reference Data'!$H$2,$G157+3*IF($G157='Reference Data'!$H$2,1,-1)))</f>
        <v/>
      </c>
      <c r="N157" s="18" t="str">
        <f>IFERROR(INDEX('Reference Data'!$D$2:$D$6,MATCH($O157,'Reference Data'!$E$2:$E$6,0)),"")</f>
        <v/>
      </c>
      <c r="O157" s="22" t="str">
        <f>IF($G157="","",MEDIAN('Reference Data'!$H$1,'Reference Data'!$H$2,$G157+4*IF($G157='Reference Data'!$H$2,1,-1)))</f>
        <v/>
      </c>
      <c r="P157" s="15"/>
      <c r="Q157" s="18"/>
      <c r="R157" s="20"/>
      <c r="S157" s="39" t="str">
        <f>IF($D157="","",IF($D157='Reference Data'!$A$11,"",IFERROR(IF(VLOOKUP($D157,'Reference Data'!$A$9:$C$11,3,FALSE)="",1,VLOOKUP($D157,'Reference Data'!$A$9:$C$11,3,FALSE)),1)))</f>
        <v/>
      </c>
      <c r="T157" s="40" t="str">
        <f>IF($D157="","",IFERROR(VLOOKUP($D157,'Reference Data'!$A$9:$B$11,2,FALSE),""))</f>
        <v/>
      </c>
      <c r="U157" s="15"/>
    </row>
    <row r="158" spans="1:21" ht="22.05" customHeight="1" x14ac:dyDescent="0.4">
      <c r="A158" s="43"/>
      <c r="B158" s="46"/>
      <c r="C158" s="12"/>
      <c r="D158" s="13"/>
      <c r="E158" s="14"/>
      <c r="F158" s="15" t="str">
        <f>IFERROR(INDEX('Reference Data'!$D$2:$D$6,MATCH($G158,'Reference Data'!$E$2:$E$6,0)),"")</f>
        <v/>
      </c>
      <c r="G158" s="21" t="str">
        <f>IF($D158="Scale",'Reference Data'!$H$2,"")</f>
        <v/>
      </c>
      <c r="H158" s="17" t="str">
        <f>IFERROR(INDEX('Reference Data'!$D$2:$D$6,MATCH($I158,'Reference Data'!$E$2:$E$6,0)),"")</f>
        <v/>
      </c>
      <c r="I158" s="21" t="str">
        <f>IF($G158="","",MEDIAN('Reference Data'!$H$1,'Reference Data'!$H$2,$G158+1*IF($G158='Reference Data'!$H$2,1,-1)))</f>
        <v/>
      </c>
      <c r="J158" s="17" t="str">
        <f>IFERROR(INDEX('Reference Data'!$D$2:$D$6,MATCH($K158,'Reference Data'!$E$2:$E$6,0)),"")</f>
        <v/>
      </c>
      <c r="K158" s="21" t="str">
        <f>IF($G158="","",MEDIAN('Reference Data'!$H$1,'Reference Data'!$H$2,$G158+2*IF($G158='Reference Data'!$H$2,1,-1)))</f>
        <v/>
      </c>
      <c r="L158" s="17" t="str">
        <f>IFERROR(INDEX('Reference Data'!$D$2:$D$6,MATCH($M158,'Reference Data'!$E$2:$E$6,0)),"")</f>
        <v/>
      </c>
      <c r="M158" s="21" t="str">
        <f>IF($G158="","",MEDIAN('Reference Data'!$H$1,'Reference Data'!$H$2,$G158+3*IF($G158='Reference Data'!$H$2,1,-1)))</f>
        <v/>
      </c>
      <c r="N158" s="18" t="str">
        <f>IFERROR(INDEX('Reference Data'!$D$2:$D$6,MATCH($O158,'Reference Data'!$E$2:$E$6,0)),"")</f>
        <v/>
      </c>
      <c r="O158" s="22" t="str">
        <f>IF($G158="","",MEDIAN('Reference Data'!$H$1,'Reference Data'!$H$2,$G158+4*IF($G158='Reference Data'!$H$2,1,-1)))</f>
        <v/>
      </c>
      <c r="P158" s="15"/>
      <c r="Q158" s="18"/>
      <c r="R158" s="20"/>
      <c r="S158" s="39" t="str">
        <f>IF($D158="","",IF($D158='Reference Data'!$A$11,"",IFERROR(IF(VLOOKUP($D158,'Reference Data'!$A$9:$C$11,3,FALSE)="",1,VLOOKUP($D158,'Reference Data'!$A$9:$C$11,3,FALSE)),1)))</f>
        <v/>
      </c>
      <c r="T158" s="40" t="str">
        <f>IF($D158="","",IFERROR(VLOOKUP($D158,'Reference Data'!$A$9:$B$11,2,FALSE),""))</f>
        <v/>
      </c>
      <c r="U158" s="15"/>
    </row>
    <row r="159" spans="1:21" ht="22.05" customHeight="1" x14ac:dyDescent="0.4">
      <c r="A159" s="43"/>
      <c r="B159" s="46"/>
      <c r="C159" s="12"/>
      <c r="D159" s="13"/>
      <c r="E159" s="14"/>
      <c r="F159" s="15" t="str">
        <f>IFERROR(INDEX('Reference Data'!$D$2:$D$6,MATCH($G159,'Reference Data'!$E$2:$E$6,0)),"")</f>
        <v/>
      </c>
      <c r="G159" s="21" t="str">
        <f>IF($D159="Scale",'Reference Data'!$H$2,"")</f>
        <v/>
      </c>
      <c r="H159" s="17" t="str">
        <f>IFERROR(INDEX('Reference Data'!$D$2:$D$6,MATCH($I159,'Reference Data'!$E$2:$E$6,0)),"")</f>
        <v/>
      </c>
      <c r="I159" s="21" t="str">
        <f>IF($G159="","",MEDIAN('Reference Data'!$H$1,'Reference Data'!$H$2,$G159+1*IF($G159='Reference Data'!$H$2,1,-1)))</f>
        <v/>
      </c>
      <c r="J159" s="17" t="str">
        <f>IFERROR(INDEX('Reference Data'!$D$2:$D$6,MATCH($K159,'Reference Data'!$E$2:$E$6,0)),"")</f>
        <v/>
      </c>
      <c r="K159" s="21" t="str">
        <f>IF($G159="","",MEDIAN('Reference Data'!$H$1,'Reference Data'!$H$2,$G159+2*IF($G159='Reference Data'!$H$2,1,-1)))</f>
        <v/>
      </c>
      <c r="L159" s="17" t="str">
        <f>IFERROR(INDEX('Reference Data'!$D$2:$D$6,MATCH($M159,'Reference Data'!$E$2:$E$6,0)),"")</f>
        <v/>
      </c>
      <c r="M159" s="21" t="str">
        <f>IF($G159="","",MEDIAN('Reference Data'!$H$1,'Reference Data'!$H$2,$G159+3*IF($G159='Reference Data'!$H$2,1,-1)))</f>
        <v/>
      </c>
      <c r="N159" s="18" t="str">
        <f>IFERROR(INDEX('Reference Data'!$D$2:$D$6,MATCH($O159,'Reference Data'!$E$2:$E$6,0)),"")</f>
        <v/>
      </c>
      <c r="O159" s="22" t="str">
        <f>IF($G159="","",MEDIAN('Reference Data'!$H$1,'Reference Data'!$H$2,$G159+4*IF($G159='Reference Data'!$H$2,1,-1)))</f>
        <v/>
      </c>
      <c r="P159" s="15"/>
      <c r="Q159" s="18"/>
      <c r="R159" s="20"/>
      <c r="S159" s="39" t="str">
        <f>IF($D159="","",IF($D159='Reference Data'!$A$11,"",IFERROR(IF(VLOOKUP($D159,'Reference Data'!$A$9:$C$11,3,FALSE)="",1,VLOOKUP($D159,'Reference Data'!$A$9:$C$11,3,FALSE)),1)))</f>
        <v/>
      </c>
      <c r="T159" s="40" t="str">
        <f>IF($D159="","",IFERROR(VLOOKUP($D159,'Reference Data'!$A$9:$B$11,2,FALSE),""))</f>
        <v/>
      </c>
      <c r="U159" s="15"/>
    </row>
    <row r="160" spans="1:21" ht="22.05" customHeight="1" x14ac:dyDescent="0.4">
      <c r="A160" s="43"/>
      <c r="B160" s="46"/>
      <c r="C160" s="12"/>
      <c r="D160" s="13"/>
      <c r="E160" s="14"/>
      <c r="F160" s="15" t="str">
        <f>IFERROR(INDEX('Reference Data'!$D$2:$D$6,MATCH($G160,'Reference Data'!$E$2:$E$6,0)),"")</f>
        <v/>
      </c>
      <c r="G160" s="21" t="str">
        <f>IF($D160="Scale",'Reference Data'!$H$2,"")</f>
        <v/>
      </c>
      <c r="H160" s="17" t="str">
        <f>IFERROR(INDEX('Reference Data'!$D$2:$D$6,MATCH($I160,'Reference Data'!$E$2:$E$6,0)),"")</f>
        <v/>
      </c>
      <c r="I160" s="21" t="str">
        <f>IF($G160="","",MEDIAN('Reference Data'!$H$1,'Reference Data'!$H$2,$G160+1*IF($G160='Reference Data'!$H$2,1,-1)))</f>
        <v/>
      </c>
      <c r="J160" s="17" t="str">
        <f>IFERROR(INDEX('Reference Data'!$D$2:$D$6,MATCH($K160,'Reference Data'!$E$2:$E$6,0)),"")</f>
        <v/>
      </c>
      <c r="K160" s="21" t="str">
        <f>IF($G160="","",MEDIAN('Reference Data'!$H$1,'Reference Data'!$H$2,$G160+2*IF($G160='Reference Data'!$H$2,1,-1)))</f>
        <v/>
      </c>
      <c r="L160" s="17" t="str">
        <f>IFERROR(INDEX('Reference Data'!$D$2:$D$6,MATCH($M160,'Reference Data'!$E$2:$E$6,0)),"")</f>
        <v/>
      </c>
      <c r="M160" s="21" t="str">
        <f>IF($G160="","",MEDIAN('Reference Data'!$H$1,'Reference Data'!$H$2,$G160+3*IF($G160='Reference Data'!$H$2,1,-1)))</f>
        <v/>
      </c>
      <c r="N160" s="18" t="str">
        <f>IFERROR(INDEX('Reference Data'!$D$2:$D$6,MATCH($O160,'Reference Data'!$E$2:$E$6,0)),"")</f>
        <v/>
      </c>
      <c r="O160" s="22" t="str">
        <f>IF($G160="","",MEDIAN('Reference Data'!$H$1,'Reference Data'!$H$2,$G160+4*IF($G160='Reference Data'!$H$2,1,-1)))</f>
        <v/>
      </c>
      <c r="P160" s="15"/>
      <c r="Q160" s="18"/>
      <c r="R160" s="20"/>
      <c r="S160" s="39" t="str">
        <f>IF($D160="","",IF($D160='Reference Data'!$A$11,"",IFERROR(IF(VLOOKUP($D160,'Reference Data'!$A$9:$C$11,3,FALSE)="",1,VLOOKUP($D160,'Reference Data'!$A$9:$C$11,3,FALSE)),1)))</f>
        <v/>
      </c>
      <c r="T160" s="40" t="str">
        <f>IF($D160="","",IFERROR(VLOOKUP($D160,'Reference Data'!$A$9:$B$11,2,FALSE),""))</f>
        <v/>
      </c>
      <c r="U160" s="15"/>
    </row>
    <row r="161" spans="1:21" ht="22.05" customHeight="1" x14ac:dyDescent="0.4">
      <c r="A161" s="43"/>
      <c r="B161" s="46"/>
      <c r="C161" s="12"/>
      <c r="D161" s="13"/>
      <c r="E161" s="14"/>
      <c r="F161" s="15" t="str">
        <f>IFERROR(INDEX('Reference Data'!$D$2:$D$6,MATCH($G161,'Reference Data'!$E$2:$E$6,0)),"")</f>
        <v/>
      </c>
      <c r="G161" s="21" t="str">
        <f>IF($D161="Scale",'Reference Data'!$H$2,"")</f>
        <v/>
      </c>
      <c r="H161" s="17" t="str">
        <f>IFERROR(INDEX('Reference Data'!$D$2:$D$6,MATCH($I161,'Reference Data'!$E$2:$E$6,0)),"")</f>
        <v/>
      </c>
      <c r="I161" s="21" t="str">
        <f>IF($G161="","",MEDIAN('Reference Data'!$H$1,'Reference Data'!$H$2,$G161+1*IF($G161='Reference Data'!$H$2,1,-1)))</f>
        <v/>
      </c>
      <c r="J161" s="17" t="str">
        <f>IFERROR(INDEX('Reference Data'!$D$2:$D$6,MATCH($K161,'Reference Data'!$E$2:$E$6,0)),"")</f>
        <v/>
      </c>
      <c r="K161" s="21" t="str">
        <f>IF($G161="","",MEDIAN('Reference Data'!$H$1,'Reference Data'!$H$2,$G161+2*IF($G161='Reference Data'!$H$2,1,-1)))</f>
        <v/>
      </c>
      <c r="L161" s="17" t="str">
        <f>IFERROR(INDEX('Reference Data'!$D$2:$D$6,MATCH($M161,'Reference Data'!$E$2:$E$6,0)),"")</f>
        <v/>
      </c>
      <c r="M161" s="21" t="str">
        <f>IF($G161="","",MEDIAN('Reference Data'!$H$1,'Reference Data'!$H$2,$G161+3*IF($G161='Reference Data'!$H$2,1,-1)))</f>
        <v/>
      </c>
      <c r="N161" s="18" t="str">
        <f>IFERROR(INDEX('Reference Data'!$D$2:$D$6,MATCH($O161,'Reference Data'!$E$2:$E$6,0)),"")</f>
        <v/>
      </c>
      <c r="O161" s="22" t="str">
        <f>IF($G161="","",MEDIAN('Reference Data'!$H$1,'Reference Data'!$H$2,$G161+4*IF($G161='Reference Data'!$H$2,1,-1)))</f>
        <v/>
      </c>
      <c r="P161" s="15"/>
      <c r="Q161" s="18"/>
      <c r="R161" s="20"/>
      <c r="S161" s="39" t="str">
        <f>IF($D161="","",IF($D161='Reference Data'!$A$11,"",IFERROR(IF(VLOOKUP($D161,'Reference Data'!$A$9:$C$11,3,FALSE)="",1,VLOOKUP($D161,'Reference Data'!$A$9:$C$11,3,FALSE)),1)))</f>
        <v/>
      </c>
      <c r="T161" s="40" t="str">
        <f>IF($D161="","",IFERROR(VLOOKUP($D161,'Reference Data'!$A$9:$B$11,2,FALSE),""))</f>
        <v/>
      </c>
      <c r="U161" s="15"/>
    </row>
    <row r="162" spans="1:21" ht="22.05" customHeight="1" x14ac:dyDescent="0.4">
      <c r="A162" s="43"/>
      <c r="B162" s="46"/>
      <c r="C162" s="12"/>
      <c r="D162" s="13"/>
      <c r="E162" s="14"/>
      <c r="F162" s="15" t="str">
        <f>IFERROR(INDEX('Reference Data'!$D$2:$D$6,MATCH($G162,'Reference Data'!$E$2:$E$6,0)),"")</f>
        <v/>
      </c>
      <c r="G162" s="21" t="str">
        <f>IF($D162="Scale",'Reference Data'!$H$2,"")</f>
        <v/>
      </c>
      <c r="H162" s="17" t="str">
        <f>IFERROR(INDEX('Reference Data'!$D$2:$D$6,MATCH($I162,'Reference Data'!$E$2:$E$6,0)),"")</f>
        <v/>
      </c>
      <c r="I162" s="21" t="str">
        <f>IF($G162="","",MEDIAN('Reference Data'!$H$1,'Reference Data'!$H$2,$G162+1*IF($G162='Reference Data'!$H$2,1,-1)))</f>
        <v/>
      </c>
      <c r="J162" s="17" t="str">
        <f>IFERROR(INDEX('Reference Data'!$D$2:$D$6,MATCH($K162,'Reference Data'!$E$2:$E$6,0)),"")</f>
        <v/>
      </c>
      <c r="K162" s="21" t="str">
        <f>IF($G162="","",MEDIAN('Reference Data'!$H$1,'Reference Data'!$H$2,$G162+2*IF($G162='Reference Data'!$H$2,1,-1)))</f>
        <v/>
      </c>
      <c r="L162" s="17" t="str">
        <f>IFERROR(INDEX('Reference Data'!$D$2:$D$6,MATCH($M162,'Reference Data'!$E$2:$E$6,0)),"")</f>
        <v/>
      </c>
      <c r="M162" s="21" t="str">
        <f>IF($G162="","",MEDIAN('Reference Data'!$H$1,'Reference Data'!$H$2,$G162+3*IF($G162='Reference Data'!$H$2,1,-1)))</f>
        <v/>
      </c>
      <c r="N162" s="18" t="str">
        <f>IFERROR(INDEX('Reference Data'!$D$2:$D$6,MATCH($O162,'Reference Data'!$E$2:$E$6,0)),"")</f>
        <v/>
      </c>
      <c r="O162" s="22" t="str">
        <f>IF($G162="","",MEDIAN('Reference Data'!$H$1,'Reference Data'!$H$2,$G162+4*IF($G162='Reference Data'!$H$2,1,-1)))</f>
        <v/>
      </c>
      <c r="P162" s="15"/>
      <c r="Q162" s="18"/>
      <c r="R162" s="20"/>
      <c r="S162" s="39" t="str">
        <f>IF($D162="","",IF($D162='Reference Data'!$A$11,"",IFERROR(IF(VLOOKUP($D162,'Reference Data'!$A$9:$C$11,3,FALSE)="",1,VLOOKUP($D162,'Reference Data'!$A$9:$C$11,3,FALSE)),1)))</f>
        <v/>
      </c>
      <c r="T162" s="40" t="str">
        <f>IF($D162="","",IFERROR(VLOOKUP($D162,'Reference Data'!$A$9:$B$11,2,FALSE),""))</f>
        <v/>
      </c>
      <c r="U162" s="15"/>
    </row>
    <row r="163" spans="1:21" ht="22.05" customHeight="1" x14ac:dyDescent="0.4">
      <c r="A163" s="43"/>
      <c r="B163" s="46"/>
      <c r="C163" s="12"/>
      <c r="D163" s="13"/>
      <c r="E163" s="14"/>
      <c r="F163" s="15" t="str">
        <f>IFERROR(INDEX('Reference Data'!$D$2:$D$6,MATCH($G163,'Reference Data'!$E$2:$E$6,0)),"")</f>
        <v/>
      </c>
      <c r="G163" s="21" t="str">
        <f>IF($D163="Scale",'Reference Data'!$H$2,"")</f>
        <v/>
      </c>
      <c r="H163" s="17" t="str">
        <f>IFERROR(INDEX('Reference Data'!$D$2:$D$6,MATCH($I163,'Reference Data'!$E$2:$E$6,0)),"")</f>
        <v/>
      </c>
      <c r="I163" s="21" t="str">
        <f>IF($G163="","",MEDIAN('Reference Data'!$H$1,'Reference Data'!$H$2,$G163+1*IF($G163='Reference Data'!$H$2,1,-1)))</f>
        <v/>
      </c>
      <c r="J163" s="17" t="str">
        <f>IFERROR(INDEX('Reference Data'!$D$2:$D$6,MATCH($K163,'Reference Data'!$E$2:$E$6,0)),"")</f>
        <v/>
      </c>
      <c r="K163" s="21" t="str">
        <f>IF($G163="","",MEDIAN('Reference Data'!$H$1,'Reference Data'!$H$2,$G163+2*IF($G163='Reference Data'!$H$2,1,-1)))</f>
        <v/>
      </c>
      <c r="L163" s="17" t="str">
        <f>IFERROR(INDEX('Reference Data'!$D$2:$D$6,MATCH($M163,'Reference Data'!$E$2:$E$6,0)),"")</f>
        <v/>
      </c>
      <c r="M163" s="21" t="str">
        <f>IF($G163="","",MEDIAN('Reference Data'!$H$1,'Reference Data'!$H$2,$G163+3*IF($G163='Reference Data'!$H$2,1,-1)))</f>
        <v/>
      </c>
      <c r="N163" s="18" t="str">
        <f>IFERROR(INDEX('Reference Data'!$D$2:$D$6,MATCH($O163,'Reference Data'!$E$2:$E$6,0)),"")</f>
        <v/>
      </c>
      <c r="O163" s="22" t="str">
        <f>IF($G163="","",MEDIAN('Reference Data'!$H$1,'Reference Data'!$H$2,$G163+4*IF($G163='Reference Data'!$H$2,1,-1)))</f>
        <v/>
      </c>
      <c r="P163" s="15"/>
      <c r="Q163" s="18"/>
      <c r="R163" s="20"/>
      <c r="S163" s="39" t="str">
        <f>IF($D163="","",IF($D163='Reference Data'!$A$11,"",IFERROR(IF(VLOOKUP($D163,'Reference Data'!$A$9:$C$11,3,FALSE)="",1,VLOOKUP($D163,'Reference Data'!$A$9:$C$11,3,FALSE)),1)))</f>
        <v/>
      </c>
      <c r="T163" s="40" t="str">
        <f>IF($D163="","",IFERROR(VLOOKUP($D163,'Reference Data'!$A$9:$B$11,2,FALSE),""))</f>
        <v/>
      </c>
      <c r="U163" s="15"/>
    </row>
    <row r="164" spans="1:21" ht="22.05" customHeight="1" x14ac:dyDescent="0.4">
      <c r="A164" s="43"/>
      <c r="B164" s="46"/>
      <c r="C164" s="12"/>
      <c r="D164" s="13"/>
      <c r="E164" s="14"/>
      <c r="F164" s="15" t="str">
        <f>IFERROR(INDEX('Reference Data'!$D$2:$D$6,MATCH($G164,'Reference Data'!$E$2:$E$6,0)),"")</f>
        <v/>
      </c>
      <c r="G164" s="21" t="str">
        <f>IF($D164="Scale",'Reference Data'!$H$2,"")</f>
        <v/>
      </c>
      <c r="H164" s="17" t="str">
        <f>IFERROR(INDEX('Reference Data'!$D$2:$D$6,MATCH($I164,'Reference Data'!$E$2:$E$6,0)),"")</f>
        <v/>
      </c>
      <c r="I164" s="21" t="str">
        <f>IF($G164="","",MEDIAN('Reference Data'!$H$1,'Reference Data'!$H$2,$G164+1*IF($G164='Reference Data'!$H$2,1,-1)))</f>
        <v/>
      </c>
      <c r="J164" s="17" t="str">
        <f>IFERROR(INDEX('Reference Data'!$D$2:$D$6,MATCH($K164,'Reference Data'!$E$2:$E$6,0)),"")</f>
        <v/>
      </c>
      <c r="K164" s="21" t="str">
        <f>IF($G164="","",MEDIAN('Reference Data'!$H$1,'Reference Data'!$H$2,$G164+2*IF($G164='Reference Data'!$H$2,1,-1)))</f>
        <v/>
      </c>
      <c r="L164" s="17" t="str">
        <f>IFERROR(INDEX('Reference Data'!$D$2:$D$6,MATCH($M164,'Reference Data'!$E$2:$E$6,0)),"")</f>
        <v/>
      </c>
      <c r="M164" s="21" t="str">
        <f>IF($G164="","",MEDIAN('Reference Data'!$H$1,'Reference Data'!$H$2,$G164+3*IF($G164='Reference Data'!$H$2,1,-1)))</f>
        <v/>
      </c>
      <c r="N164" s="18" t="str">
        <f>IFERROR(INDEX('Reference Data'!$D$2:$D$6,MATCH($O164,'Reference Data'!$E$2:$E$6,0)),"")</f>
        <v/>
      </c>
      <c r="O164" s="22" t="str">
        <f>IF($G164="","",MEDIAN('Reference Data'!$H$1,'Reference Data'!$H$2,$G164+4*IF($G164='Reference Data'!$H$2,1,-1)))</f>
        <v/>
      </c>
      <c r="P164" s="15"/>
      <c r="Q164" s="18"/>
      <c r="R164" s="20"/>
      <c r="S164" s="39" t="str">
        <f>IF($D164="","",IF($D164='Reference Data'!$A$11,"",IFERROR(IF(VLOOKUP($D164,'Reference Data'!$A$9:$C$11,3,FALSE)="",1,VLOOKUP($D164,'Reference Data'!$A$9:$C$11,3,FALSE)),1)))</f>
        <v/>
      </c>
      <c r="T164" s="40" t="str">
        <f>IF($D164="","",IFERROR(VLOOKUP($D164,'Reference Data'!$A$9:$B$11,2,FALSE),""))</f>
        <v/>
      </c>
      <c r="U164" s="15"/>
    </row>
    <row r="165" spans="1:21" ht="22.05" customHeight="1" x14ac:dyDescent="0.4">
      <c r="A165" s="43"/>
      <c r="B165" s="46"/>
      <c r="C165" s="12"/>
      <c r="D165" s="13"/>
      <c r="E165" s="14"/>
      <c r="F165" s="15" t="str">
        <f>IFERROR(INDEX('Reference Data'!$D$2:$D$6,MATCH($G165,'Reference Data'!$E$2:$E$6,0)),"")</f>
        <v/>
      </c>
      <c r="G165" s="21" t="str">
        <f>IF($D165="Scale",'Reference Data'!$H$2,"")</f>
        <v/>
      </c>
      <c r="H165" s="17" t="str">
        <f>IFERROR(INDEX('Reference Data'!$D$2:$D$6,MATCH($I165,'Reference Data'!$E$2:$E$6,0)),"")</f>
        <v/>
      </c>
      <c r="I165" s="21" t="str">
        <f>IF($G165="","",MEDIAN('Reference Data'!$H$1,'Reference Data'!$H$2,$G165+1*IF($G165='Reference Data'!$H$2,1,-1)))</f>
        <v/>
      </c>
      <c r="J165" s="17" t="str">
        <f>IFERROR(INDEX('Reference Data'!$D$2:$D$6,MATCH($K165,'Reference Data'!$E$2:$E$6,0)),"")</f>
        <v/>
      </c>
      <c r="K165" s="21" t="str">
        <f>IF($G165="","",MEDIAN('Reference Data'!$H$1,'Reference Data'!$H$2,$G165+2*IF($G165='Reference Data'!$H$2,1,-1)))</f>
        <v/>
      </c>
      <c r="L165" s="17" t="str">
        <f>IFERROR(INDEX('Reference Data'!$D$2:$D$6,MATCH($M165,'Reference Data'!$E$2:$E$6,0)),"")</f>
        <v/>
      </c>
      <c r="M165" s="21" t="str">
        <f>IF($G165="","",MEDIAN('Reference Data'!$H$1,'Reference Data'!$H$2,$G165+3*IF($G165='Reference Data'!$H$2,1,-1)))</f>
        <v/>
      </c>
      <c r="N165" s="18" t="str">
        <f>IFERROR(INDEX('Reference Data'!$D$2:$D$6,MATCH($O165,'Reference Data'!$E$2:$E$6,0)),"")</f>
        <v/>
      </c>
      <c r="O165" s="22" t="str">
        <f>IF($G165="","",MEDIAN('Reference Data'!$H$1,'Reference Data'!$H$2,$G165+4*IF($G165='Reference Data'!$H$2,1,-1)))</f>
        <v/>
      </c>
      <c r="P165" s="15"/>
      <c r="Q165" s="18"/>
      <c r="R165" s="20"/>
      <c r="S165" s="39" t="str">
        <f>IF($D165="","",IF($D165='Reference Data'!$A$11,"",IFERROR(IF(VLOOKUP($D165,'Reference Data'!$A$9:$C$11,3,FALSE)="",1,VLOOKUP($D165,'Reference Data'!$A$9:$C$11,3,FALSE)),1)))</f>
        <v/>
      </c>
      <c r="T165" s="40" t="str">
        <f>IF($D165="","",IFERROR(VLOOKUP($D165,'Reference Data'!$A$9:$B$11,2,FALSE),""))</f>
        <v/>
      </c>
      <c r="U165" s="15"/>
    </row>
    <row r="166" spans="1:21" ht="22.05" customHeight="1" x14ac:dyDescent="0.4">
      <c r="A166" s="43"/>
      <c r="B166" s="46"/>
      <c r="C166" s="12"/>
      <c r="D166" s="13"/>
      <c r="E166" s="14"/>
      <c r="F166" s="15" t="str">
        <f>IFERROR(INDEX('Reference Data'!$D$2:$D$6,MATCH($G166,'Reference Data'!$E$2:$E$6,0)),"")</f>
        <v/>
      </c>
      <c r="G166" s="21" t="str">
        <f>IF($D166="Scale",'Reference Data'!$H$2,"")</f>
        <v/>
      </c>
      <c r="H166" s="17" t="str">
        <f>IFERROR(INDEX('Reference Data'!$D$2:$D$6,MATCH($I166,'Reference Data'!$E$2:$E$6,0)),"")</f>
        <v/>
      </c>
      <c r="I166" s="21" t="str">
        <f>IF($G166="","",MEDIAN('Reference Data'!$H$1,'Reference Data'!$H$2,$G166+1*IF($G166='Reference Data'!$H$2,1,-1)))</f>
        <v/>
      </c>
      <c r="J166" s="17" t="str">
        <f>IFERROR(INDEX('Reference Data'!$D$2:$D$6,MATCH($K166,'Reference Data'!$E$2:$E$6,0)),"")</f>
        <v/>
      </c>
      <c r="K166" s="21" t="str">
        <f>IF($G166="","",MEDIAN('Reference Data'!$H$1,'Reference Data'!$H$2,$G166+2*IF($G166='Reference Data'!$H$2,1,-1)))</f>
        <v/>
      </c>
      <c r="L166" s="17" t="str">
        <f>IFERROR(INDEX('Reference Data'!$D$2:$D$6,MATCH($M166,'Reference Data'!$E$2:$E$6,0)),"")</f>
        <v/>
      </c>
      <c r="M166" s="21" t="str">
        <f>IF($G166="","",MEDIAN('Reference Data'!$H$1,'Reference Data'!$H$2,$G166+3*IF($G166='Reference Data'!$H$2,1,-1)))</f>
        <v/>
      </c>
      <c r="N166" s="18" t="str">
        <f>IFERROR(INDEX('Reference Data'!$D$2:$D$6,MATCH($O166,'Reference Data'!$E$2:$E$6,0)),"")</f>
        <v/>
      </c>
      <c r="O166" s="22" t="str">
        <f>IF($G166="","",MEDIAN('Reference Data'!$H$1,'Reference Data'!$H$2,$G166+4*IF($G166='Reference Data'!$H$2,1,-1)))</f>
        <v/>
      </c>
      <c r="P166" s="15"/>
      <c r="Q166" s="18"/>
      <c r="R166" s="20"/>
      <c r="S166" s="39" t="str">
        <f>IF($D166="","",IF($D166='Reference Data'!$A$11,"",IFERROR(IF(VLOOKUP($D166,'Reference Data'!$A$9:$C$11,3,FALSE)="",1,VLOOKUP($D166,'Reference Data'!$A$9:$C$11,3,FALSE)),1)))</f>
        <v/>
      </c>
      <c r="T166" s="40" t="str">
        <f>IF($D166="","",IFERROR(VLOOKUP($D166,'Reference Data'!$A$9:$B$11,2,FALSE),""))</f>
        <v/>
      </c>
      <c r="U166" s="15"/>
    </row>
    <row r="167" spans="1:21" ht="22.05" customHeight="1" x14ac:dyDescent="0.4">
      <c r="A167" s="43"/>
      <c r="B167" s="46"/>
      <c r="C167" s="12"/>
      <c r="D167" s="13"/>
      <c r="E167" s="14"/>
      <c r="F167" s="15" t="str">
        <f>IFERROR(INDEX('Reference Data'!$D$2:$D$6,MATCH($G167,'Reference Data'!$E$2:$E$6,0)),"")</f>
        <v/>
      </c>
      <c r="G167" s="21" t="str">
        <f>IF($D167="Scale",'Reference Data'!$H$2,"")</f>
        <v/>
      </c>
      <c r="H167" s="17" t="str">
        <f>IFERROR(INDEX('Reference Data'!$D$2:$D$6,MATCH($I167,'Reference Data'!$E$2:$E$6,0)),"")</f>
        <v/>
      </c>
      <c r="I167" s="21" t="str">
        <f>IF($G167="","",MEDIAN('Reference Data'!$H$1,'Reference Data'!$H$2,$G167+1*IF($G167='Reference Data'!$H$2,1,-1)))</f>
        <v/>
      </c>
      <c r="J167" s="17" t="str">
        <f>IFERROR(INDEX('Reference Data'!$D$2:$D$6,MATCH($K167,'Reference Data'!$E$2:$E$6,0)),"")</f>
        <v/>
      </c>
      <c r="K167" s="21" t="str">
        <f>IF($G167="","",MEDIAN('Reference Data'!$H$1,'Reference Data'!$H$2,$G167+2*IF($G167='Reference Data'!$H$2,1,-1)))</f>
        <v/>
      </c>
      <c r="L167" s="17" t="str">
        <f>IFERROR(INDEX('Reference Data'!$D$2:$D$6,MATCH($M167,'Reference Data'!$E$2:$E$6,0)),"")</f>
        <v/>
      </c>
      <c r="M167" s="21" t="str">
        <f>IF($G167="","",MEDIAN('Reference Data'!$H$1,'Reference Data'!$H$2,$G167+3*IF($G167='Reference Data'!$H$2,1,-1)))</f>
        <v/>
      </c>
      <c r="N167" s="18" t="str">
        <f>IFERROR(INDEX('Reference Data'!$D$2:$D$6,MATCH($O167,'Reference Data'!$E$2:$E$6,0)),"")</f>
        <v/>
      </c>
      <c r="O167" s="22" t="str">
        <f>IF($G167="","",MEDIAN('Reference Data'!$H$1,'Reference Data'!$H$2,$G167+4*IF($G167='Reference Data'!$H$2,1,-1)))</f>
        <v/>
      </c>
      <c r="P167" s="15"/>
      <c r="Q167" s="18"/>
      <c r="R167" s="20"/>
      <c r="S167" s="39" t="str">
        <f>IF($D167="","",IF($D167='Reference Data'!$A$11,"",IFERROR(IF(VLOOKUP($D167,'Reference Data'!$A$9:$C$11,3,FALSE)="",1,VLOOKUP($D167,'Reference Data'!$A$9:$C$11,3,FALSE)),1)))</f>
        <v/>
      </c>
      <c r="T167" s="40" t="str">
        <f>IF($D167="","",IFERROR(VLOOKUP($D167,'Reference Data'!$A$9:$B$11,2,FALSE),""))</f>
        <v/>
      </c>
      <c r="U167" s="15"/>
    </row>
    <row r="168" spans="1:21" ht="22.05" customHeight="1" x14ac:dyDescent="0.4">
      <c r="A168" s="43"/>
      <c r="B168" s="46"/>
      <c r="C168" s="12"/>
      <c r="D168" s="13"/>
      <c r="E168" s="14"/>
      <c r="F168" s="15" t="str">
        <f>IFERROR(INDEX('Reference Data'!$D$2:$D$6,MATCH($G168,'Reference Data'!$E$2:$E$6,0)),"")</f>
        <v/>
      </c>
      <c r="G168" s="21" t="str">
        <f>IF($D168="Scale",'Reference Data'!$H$2,"")</f>
        <v/>
      </c>
      <c r="H168" s="17" t="str">
        <f>IFERROR(INDEX('Reference Data'!$D$2:$D$6,MATCH($I168,'Reference Data'!$E$2:$E$6,0)),"")</f>
        <v/>
      </c>
      <c r="I168" s="21" t="str">
        <f>IF($G168="","",MEDIAN('Reference Data'!$H$1,'Reference Data'!$H$2,$G168+1*IF($G168='Reference Data'!$H$2,1,-1)))</f>
        <v/>
      </c>
      <c r="J168" s="17" t="str">
        <f>IFERROR(INDEX('Reference Data'!$D$2:$D$6,MATCH($K168,'Reference Data'!$E$2:$E$6,0)),"")</f>
        <v/>
      </c>
      <c r="K168" s="21" t="str">
        <f>IF($G168="","",MEDIAN('Reference Data'!$H$1,'Reference Data'!$H$2,$G168+2*IF($G168='Reference Data'!$H$2,1,-1)))</f>
        <v/>
      </c>
      <c r="L168" s="17" t="str">
        <f>IFERROR(INDEX('Reference Data'!$D$2:$D$6,MATCH($M168,'Reference Data'!$E$2:$E$6,0)),"")</f>
        <v/>
      </c>
      <c r="M168" s="21" t="str">
        <f>IF($G168="","",MEDIAN('Reference Data'!$H$1,'Reference Data'!$H$2,$G168+3*IF($G168='Reference Data'!$H$2,1,-1)))</f>
        <v/>
      </c>
      <c r="N168" s="18" t="str">
        <f>IFERROR(INDEX('Reference Data'!$D$2:$D$6,MATCH($O168,'Reference Data'!$E$2:$E$6,0)),"")</f>
        <v/>
      </c>
      <c r="O168" s="22" t="str">
        <f>IF($G168="","",MEDIAN('Reference Data'!$H$1,'Reference Data'!$H$2,$G168+4*IF($G168='Reference Data'!$H$2,1,-1)))</f>
        <v/>
      </c>
      <c r="P168" s="15"/>
      <c r="Q168" s="18"/>
      <c r="R168" s="20"/>
      <c r="S168" s="39" t="str">
        <f>IF($D168="","",IF($D168='Reference Data'!$A$11,"",IFERROR(IF(VLOOKUP($D168,'Reference Data'!$A$9:$C$11,3,FALSE)="",1,VLOOKUP($D168,'Reference Data'!$A$9:$C$11,3,FALSE)),1)))</f>
        <v/>
      </c>
      <c r="T168" s="40" t="str">
        <f>IF($D168="","",IFERROR(VLOOKUP($D168,'Reference Data'!$A$9:$B$11,2,FALSE),""))</f>
        <v/>
      </c>
      <c r="U168" s="15"/>
    </row>
    <row r="169" spans="1:21" ht="22.05" customHeight="1" x14ac:dyDescent="0.4">
      <c r="A169" s="43"/>
      <c r="B169" s="46"/>
      <c r="C169" s="12"/>
      <c r="D169" s="13"/>
      <c r="E169" s="14"/>
      <c r="F169" s="15" t="str">
        <f>IFERROR(INDEX('Reference Data'!$D$2:$D$6,MATCH($G169,'Reference Data'!$E$2:$E$6,0)),"")</f>
        <v/>
      </c>
      <c r="G169" s="21" t="str">
        <f>IF($D169="Scale",'Reference Data'!$H$2,"")</f>
        <v/>
      </c>
      <c r="H169" s="17" t="str">
        <f>IFERROR(INDEX('Reference Data'!$D$2:$D$6,MATCH($I169,'Reference Data'!$E$2:$E$6,0)),"")</f>
        <v/>
      </c>
      <c r="I169" s="21" t="str">
        <f>IF($G169="","",MEDIAN('Reference Data'!$H$1,'Reference Data'!$H$2,$G169+1*IF($G169='Reference Data'!$H$2,1,-1)))</f>
        <v/>
      </c>
      <c r="J169" s="17" t="str">
        <f>IFERROR(INDEX('Reference Data'!$D$2:$D$6,MATCH($K169,'Reference Data'!$E$2:$E$6,0)),"")</f>
        <v/>
      </c>
      <c r="K169" s="21" t="str">
        <f>IF($G169="","",MEDIAN('Reference Data'!$H$1,'Reference Data'!$H$2,$G169+2*IF($G169='Reference Data'!$H$2,1,-1)))</f>
        <v/>
      </c>
      <c r="L169" s="17" t="str">
        <f>IFERROR(INDEX('Reference Data'!$D$2:$D$6,MATCH($M169,'Reference Data'!$E$2:$E$6,0)),"")</f>
        <v/>
      </c>
      <c r="M169" s="21" t="str">
        <f>IF($G169="","",MEDIAN('Reference Data'!$H$1,'Reference Data'!$H$2,$G169+3*IF($G169='Reference Data'!$H$2,1,-1)))</f>
        <v/>
      </c>
      <c r="N169" s="18" t="str">
        <f>IFERROR(INDEX('Reference Data'!$D$2:$D$6,MATCH($O169,'Reference Data'!$E$2:$E$6,0)),"")</f>
        <v/>
      </c>
      <c r="O169" s="22" t="str">
        <f>IF($G169="","",MEDIAN('Reference Data'!$H$1,'Reference Data'!$H$2,$G169+4*IF($G169='Reference Data'!$H$2,1,-1)))</f>
        <v/>
      </c>
      <c r="P169" s="15"/>
      <c r="Q169" s="18"/>
      <c r="R169" s="20"/>
      <c r="S169" s="39" t="str">
        <f>IF($D169="","",IF($D169='Reference Data'!$A$11,"",IFERROR(IF(VLOOKUP($D169,'Reference Data'!$A$9:$C$11,3,FALSE)="",1,VLOOKUP($D169,'Reference Data'!$A$9:$C$11,3,FALSE)),1)))</f>
        <v/>
      </c>
      <c r="T169" s="40" t="str">
        <f>IF($D169="","",IFERROR(VLOOKUP($D169,'Reference Data'!$A$9:$B$11,2,FALSE),""))</f>
        <v/>
      </c>
      <c r="U169" s="15"/>
    </row>
    <row r="170" spans="1:21" ht="22.05" customHeight="1" x14ac:dyDescent="0.4">
      <c r="A170" s="43"/>
      <c r="B170" s="46"/>
      <c r="C170" s="12"/>
      <c r="D170" s="13"/>
      <c r="E170" s="14"/>
      <c r="F170" s="15" t="str">
        <f>IFERROR(INDEX('Reference Data'!$D$2:$D$6,MATCH($G170,'Reference Data'!$E$2:$E$6,0)),"")</f>
        <v/>
      </c>
      <c r="G170" s="21" t="str">
        <f>IF($D170="Scale",'Reference Data'!$H$2,"")</f>
        <v/>
      </c>
      <c r="H170" s="17" t="str">
        <f>IFERROR(INDEX('Reference Data'!$D$2:$D$6,MATCH($I170,'Reference Data'!$E$2:$E$6,0)),"")</f>
        <v/>
      </c>
      <c r="I170" s="21" t="str">
        <f>IF($G170="","",MEDIAN('Reference Data'!$H$1,'Reference Data'!$H$2,$G170+1*IF($G170='Reference Data'!$H$2,1,-1)))</f>
        <v/>
      </c>
      <c r="J170" s="17" t="str">
        <f>IFERROR(INDEX('Reference Data'!$D$2:$D$6,MATCH($K170,'Reference Data'!$E$2:$E$6,0)),"")</f>
        <v/>
      </c>
      <c r="K170" s="21" t="str">
        <f>IF($G170="","",MEDIAN('Reference Data'!$H$1,'Reference Data'!$H$2,$G170+2*IF($G170='Reference Data'!$H$2,1,-1)))</f>
        <v/>
      </c>
      <c r="L170" s="17" t="str">
        <f>IFERROR(INDEX('Reference Data'!$D$2:$D$6,MATCH($M170,'Reference Data'!$E$2:$E$6,0)),"")</f>
        <v/>
      </c>
      <c r="M170" s="21" t="str">
        <f>IF($G170="","",MEDIAN('Reference Data'!$H$1,'Reference Data'!$H$2,$G170+3*IF($G170='Reference Data'!$H$2,1,-1)))</f>
        <v/>
      </c>
      <c r="N170" s="18" t="str">
        <f>IFERROR(INDEX('Reference Data'!$D$2:$D$6,MATCH($O170,'Reference Data'!$E$2:$E$6,0)),"")</f>
        <v/>
      </c>
      <c r="O170" s="22" t="str">
        <f>IF($G170="","",MEDIAN('Reference Data'!$H$1,'Reference Data'!$H$2,$G170+4*IF($G170='Reference Data'!$H$2,1,-1)))</f>
        <v/>
      </c>
      <c r="P170" s="15"/>
      <c r="Q170" s="18"/>
      <c r="R170" s="20"/>
      <c r="S170" s="39" t="str">
        <f>IF($D170="","",IF($D170='Reference Data'!$A$11,"",IFERROR(IF(VLOOKUP($D170,'Reference Data'!$A$9:$C$11,3,FALSE)="",1,VLOOKUP($D170,'Reference Data'!$A$9:$C$11,3,FALSE)),1)))</f>
        <v/>
      </c>
      <c r="T170" s="40" t="str">
        <f>IF($D170="","",IFERROR(VLOOKUP($D170,'Reference Data'!$A$9:$B$11,2,FALSE),""))</f>
        <v/>
      </c>
      <c r="U170" s="15"/>
    </row>
    <row r="171" spans="1:21" ht="22.05" customHeight="1" x14ac:dyDescent="0.4">
      <c r="A171" s="43"/>
      <c r="B171" s="46"/>
      <c r="C171" s="12"/>
      <c r="D171" s="13"/>
      <c r="E171" s="14"/>
      <c r="F171" s="15" t="str">
        <f>IFERROR(INDEX('Reference Data'!$D$2:$D$6,MATCH($G171,'Reference Data'!$E$2:$E$6,0)),"")</f>
        <v/>
      </c>
      <c r="G171" s="21" t="str">
        <f>IF($D171="Scale",'Reference Data'!$H$2,"")</f>
        <v/>
      </c>
      <c r="H171" s="17" t="str">
        <f>IFERROR(INDEX('Reference Data'!$D$2:$D$6,MATCH($I171,'Reference Data'!$E$2:$E$6,0)),"")</f>
        <v/>
      </c>
      <c r="I171" s="21" t="str">
        <f>IF($G171="","",MEDIAN('Reference Data'!$H$1,'Reference Data'!$H$2,$G171+1*IF($G171='Reference Data'!$H$2,1,-1)))</f>
        <v/>
      </c>
      <c r="J171" s="17" t="str">
        <f>IFERROR(INDEX('Reference Data'!$D$2:$D$6,MATCH($K171,'Reference Data'!$E$2:$E$6,0)),"")</f>
        <v/>
      </c>
      <c r="K171" s="21" t="str">
        <f>IF($G171="","",MEDIAN('Reference Data'!$H$1,'Reference Data'!$H$2,$G171+2*IF($G171='Reference Data'!$H$2,1,-1)))</f>
        <v/>
      </c>
      <c r="L171" s="17" t="str">
        <f>IFERROR(INDEX('Reference Data'!$D$2:$D$6,MATCH($M171,'Reference Data'!$E$2:$E$6,0)),"")</f>
        <v/>
      </c>
      <c r="M171" s="21" t="str">
        <f>IF($G171="","",MEDIAN('Reference Data'!$H$1,'Reference Data'!$H$2,$G171+3*IF($G171='Reference Data'!$H$2,1,-1)))</f>
        <v/>
      </c>
      <c r="N171" s="18" t="str">
        <f>IFERROR(INDEX('Reference Data'!$D$2:$D$6,MATCH($O171,'Reference Data'!$E$2:$E$6,0)),"")</f>
        <v/>
      </c>
      <c r="O171" s="22" t="str">
        <f>IF($G171="","",MEDIAN('Reference Data'!$H$1,'Reference Data'!$H$2,$G171+4*IF($G171='Reference Data'!$H$2,1,-1)))</f>
        <v/>
      </c>
      <c r="P171" s="15"/>
      <c r="Q171" s="18"/>
      <c r="R171" s="20"/>
      <c r="S171" s="39" t="str">
        <f>IF($D171="","",IF($D171='Reference Data'!$A$11,"",IFERROR(IF(VLOOKUP($D171,'Reference Data'!$A$9:$C$11,3,FALSE)="",1,VLOOKUP($D171,'Reference Data'!$A$9:$C$11,3,FALSE)),1)))</f>
        <v/>
      </c>
      <c r="T171" s="40" t="str">
        <f>IF($D171="","",IFERROR(VLOOKUP($D171,'Reference Data'!$A$9:$B$11,2,FALSE),""))</f>
        <v/>
      </c>
      <c r="U171" s="15"/>
    </row>
    <row r="172" spans="1:21" ht="22.05" customHeight="1" x14ac:dyDescent="0.4">
      <c r="A172" s="43"/>
      <c r="B172" s="46"/>
      <c r="C172" s="12"/>
      <c r="D172" s="13"/>
      <c r="E172" s="14"/>
      <c r="F172" s="15" t="str">
        <f>IFERROR(INDEX('Reference Data'!$D$2:$D$6,MATCH($G172,'Reference Data'!$E$2:$E$6,0)),"")</f>
        <v/>
      </c>
      <c r="G172" s="21" t="str">
        <f>IF($D172="Scale",'Reference Data'!$H$2,"")</f>
        <v/>
      </c>
      <c r="H172" s="17" t="str">
        <f>IFERROR(INDEX('Reference Data'!$D$2:$D$6,MATCH($I172,'Reference Data'!$E$2:$E$6,0)),"")</f>
        <v/>
      </c>
      <c r="I172" s="21" t="str">
        <f>IF($G172="","",MEDIAN('Reference Data'!$H$1,'Reference Data'!$H$2,$G172+1*IF($G172='Reference Data'!$H$2,1,-1)))</f>
        <v/>
      </c>
      <c r="J172" s="17" t="str">
        <f>IFERROR(INDEX('Reference Data'!$D$2:$D$6,MATCH($K172,'Reference Data'!$E$2:$E$6,0)),"")</f>
        <v/>
      </c>
      <c r="K172" s="21" t="str">
        <f>IF($G172="","",MEDIAN('Reference Data'!$H$1,'Reference Data'!$H$2,$G172+2*IF($G172='Reference Data'!$H$2,1,-1)))</f>
        <v/>
      </c>
      <c r="L172" s="17" t="str">
        <f>IFERROR(INDEX('Reference Data'!$D$2:$D$6,MATCH($M172,'Reference Data'!$E$2:$E$6,0)),"")</f>
        <v/>
      </c>
      <c r="M172" s="21" t="str">
        <f>IF($G172="","",MEDIAN('Reference Data'!$H$1,'Reference Data'!$H$2,$G172+3*IF($G172='Reference Data'!$H$2,1,-1)))</f>
        <v/>
      </c>
      <c r="N172" s="18" t="str">
        <f>IFERROR(INDEX('Reference Data'!$D$2:$D$6,MATCH($O172,'Reference Data'!$E$2:$E$6,0)),"")</f>
        <v/>
      </c>
      <c r="O172" s="22" t="str">
        <f>IF($G172="","",MEDIAN('Reference Data'!$H$1,'Reference Data'!$H$2,$G172+4*IF($G172='Reference Data'!$H$2,1,-1)))</f>
        <v/>
      </c>
      <c r="P172" s="15"/>
      <c r="Q172" s="18"/>
      <c r="R172" s="20"/>
      <c r="S172" s="39" t="str">
        <f>IF($D172="","",IF($D172='Reference Data'!$A$11,"",IFERROR(IF(VLOOKUP($D172,'Reference Data'!$A$9:$C$11,3,FALSE)="",1,VLOOKUP($D172,'Reference Data'!$A$9:$C$11,3,FALSE)),1)))</f>
        <v/>
      </c>
      <c r="T172" s="40" t="str">
        <f>IF($D172="","",IFERROR(VLOOKUP($D172,'Reference Data'!$A$9:$B$11,2,FALSE),""))</f>
        <v/>
      </c>
      <c r="U172" s="15"/>
    </row>
    <row r="173" spans="1:21" ht="22.05" customHeight="1" x14ac:dyDescent="0.4">
      <c r="A173" s="43"/>
      <c r="B173" s="46"/>
      <c r="C173" s="12"/>
      <c r="D173" s="13"/>
      <c r="E173" s="14"/>
      <c r="F173" s="15" t="str">
        <f>IFERROR(INDEX('Reference Data'!$D$2:$D$6,MATCH($G173,'Reference Data'!$E$2:$E$6,0)),"")</f>
        <v/>
      </c>
      <c r="G173" s="21" t="str">
        <f>IF($D173="Scale",'Reference Data'!$H$2,"")</f>
        <v/>
      </c>
      <c r="H173" s="17" t="str">
        <f>IFERROR(INDEX('Reference Data'!$D$2:$D$6,MATCH($I173,'Reference Data'!$E$2:$E$6,0)),"")</f>
        <v/>
      </c>
      <c r="I173" s="21" t="str">
        <f>IF($G173="","",MEDIAN('Reference Data'!$H$1,'Reference Data'!$H$2,$G173+1*IF($G173='Reference Data'!$H$2,1,-1)))</f>
        <v/>
      </c>
      <c r="J173" s="17" t="str">
        <f>IFERROR(INDEX('Reference Data'!$D$2:$D$6,MATCH($K173,'Reference Data'!$E$2:$E$6,0)),"")</f>
        <v/>
      </c>
      <c r="K173" s="21" t="str">
        <f>IF($G173="","",MEDIAN('Reference Data'!$H$1,'Reference Data'!$H$2,$G173+2*IF($G173='Reference Data'!$H$2,1,-1)))</f>
        <v/>
      </c>
      <c r="L173" s="17" t="str">
        <f>IFERROR(INDEX('Reference Data'!$D$2:$D$6,MATCH($M173,'Reference Data'!$E$2:$E$6,0)),"")</f>
        <v/>
      </c>
      <c r="M173" s="21" t="str">
        <f>IF($G173="","",MEDIAN('Reference Data'!$H$1,'Reference Data'!$H$2,$G173+3*IF($G173='Reference Data'!$H$2,1,-1)))</f>
        <v/>
      </c>
      <c r="N173" s="18" t="str">
        <f>IFERROR(INDEX('Reference Data'!$D$2:$D$6,MATCH($O173,'Reference Data'!$E$2:$E$6,0)),"")</f>
        <v/>
      </c>
      <c r="O173" s="22" t="str">
        <f>IF($G173="","",MEDIAN('Reference Data'!$H$1,'Reference Data'!$H$2,$G173+4*IF($G173='Reference Data'!$H$2,1,-1)))</f>
        <v/>
      </c>
      <c r="P173" s="15"/>
      <c r="Q173" s="18"/>
      <c r="R173" s="20"/>
      <c r="S173" s="39" t="str">
        <f>IF($D173="","",IF($D173='Reference Data'!$A$11,"",IFERROR(IF(VLOOKUP($D173,'Reference Data'!$A$9:$C$11,3,FALSE)="",1,VLOOKUP($D173,'Reference Data'!$A$9:$C$11,3,FALSE)),1)))</f>
        <v/>
      </c>
      <c r="T173" s="40" t="str">
        <f>IF($D173="","",IFERROR(VLOOKUP($D173,'Reference Data'!$A$9:$B$11,2,FALSE),""))</f>
        <v/>
      </c>
      <c r="U173" s="15"/>
    </row>
    <row r="174" spans="1:21" ht="22.05" customHeight="1" x14ac:dyDescent="0.4">
      <c r="A174" s="43"/>
      <c r="B174" s="46"/>
      <c r="C174" s="12"/>
      <c r="D174" s="13"/>
      <c r="E174" s="14"/>
      <c r="F174" s="15" t="str">
        <f>IFERROR(INDEX('Reference Data'!$D$2:$D$6,MATCH($G174,'Reference Data'!$E$2:$E$6,0)),"")</f>
        <v/>
      </c>
      <c r="G174" s="21" t="str">
        <f>IF($D174="Scale",'Reference Data'!$H$2,"")</f>
        <v/>
      </c>
      <c r="H174" s="17" t="str">
        <f>IFERROR(INDEX('Reference Data'!$D$2:$D$6,MATCH($I174,'Reference Data'!$E$2:$E$6,0)),"")</f>
        <v/>
      </c>
      <c r="I174" s="21" t="str">
        <f>IF($G174="","",MEDIAN('Reference Data'!$H$1,'Reference Data'!$H$2,$G174+1*IF($G174='Reference Data'!$H$2,1,-1)))</f>
        <v/>
      </c>
      <c r="J174" s="17" t="str">
        <f>IFERROR(INDEX('Reference Data'!$D$2:$D$6,MATCH($K174,'Reference Data'!$E$2:$E$6,0)),"")</f>
        <v/>
      </c>
      <c r="K174" s="21" t="str">
        <f>IF($G174="","",MEDIAN('Reference Data'!$H$1,'Reference Data'!$H$2,$G174+2*IF($G174='Reference Data'!$H$2,1,-1)))</f>
        <v/>
      </c>
      <c r="L174" s="17" t="str">
        <f>IFERROR(INDEX('Reference Data'!$D$2:$D$6,MATCH($M174,'Reference Data'!$E$2:$E$6,0)),"")</f>
        <v/>
      </c>
      <c r="M174" s="21" t="str">
        <f>IF($G174="","",MEDIAN('Reference Data'!$H$1,'Reference Data'!$H$2,$G174+3*IF($G174='Reference Data'!$H$2,1,-1)))</f>
        <v/>
      </c>
      <c r="N174" s="18" t="str">
        <f>IFERROR(INDEX('Reference Data'!$D$2:$D$6,MATCH($O174,'Reference Data'!$E$2:$E$6,0)),"")</f>
        <v/>
      </c>
      <c r="O174" s="22" t="str">
        <f>IF($G174="","",MEDIAN('Reference Data'!$H$1,'Reference Data'!$H$2,$G174+4*IF($G174='Reference Data'!$H$2,1,-1)))</f>
        <v/>
      </c>
      <c r="P174" s="15"/>
      <c r="Q174" s="18"/>
      <c r="R174" s="20"/>
      <c r="S174" s="39" t="str">
        <f>IF($D174="","",IF($D174='Reference Data'!$A$11,"",IFERROR(IF(VLOOKUP($D174,'Reference Data'!$A$9:$C$11,3,FALSE)="",1,VLOOKUP($D174,'Reference Data'!$A$9:$C$11,3,FALSE)),1)))</f>
        <v/>
      </c>
      <c r="T174" s="40" t="str">
        <f>IF($D174="","",IFERROR(VLOOKUP($D174,'Reference Data'!$A$9:$B$11,2,FALSE),""))</f>
        <v/>
      </c>
      <c r="U174" s="15"/>
    </row>
    <row r="175" spans="1:21" ht="22.05" customHeight="1" x14ac:dyDescent="0.4">
      <c r="A175" s="43"/>
      <c r="B175" s="46"/>
      <c r="C175" s="12"/>
      <c r="D175" s="13"/>
      <c r="E175" s="14"/>
      <c r="F175" s="15" t="str">
        <f>IFERROR(INDEX('Reference Data'!$D$2:$D$6,MATCH($G175,'Reference Data'!$E$2:$E$6,0)),"")</f>
        <v/>
      </c>
      <c r="G175" s="21" t="str">
        <f>IF($D175="Scale",'Reference Data'!$H$2,"")</f>
        <v/>
      </c>
      <c r="H175" s="17" t="str">
        <f>IFERROR(INDEX('Reference Data'!$D$2:$D$6,MATCH($I175,'Reference Data'!$E$2:$E$6,0)),"")</f>
        <v/>
      </c>
      <c r="I175" s="21" t="str">
        <f>IF($G175="","",MEDIAN('Reference Data'!$H$1,'Reference Data'!$H$2,$G175+1*IF($G175='Reference Data'!$H$2,1,-1)))</f>
        <v/>
      </c>
      <c r="J175" s="17" t="str">
        <f>IFERROR(INDEX('Reference Data'!$D$2:$D$6,MATCH($K175,'Reference Data'!$E$2:$E$6,0)),"")</f>
        <v/>
      </c>
      <c r="K175" s="21" t="str">
        <f>IF($G175="","",MEDIAN('Reference Data'!$H$1,'Reference Data'!$H$2,$G175+2*IF($G175='Reference Data'!$H$2,1,-1)))</f>
        <v/>
      </c>
      <c r="L175" s="17" t="str">
        <f>IFERROR(INDEX('Reference Data'!$D$2:$D$6,MATCH($M175,'Reference Data'!$E$2:$E$6,0)),"")</f>
        <v/>
      </c>
      <c r="M175" s="21" t="str">
        <f>IF($G175="","",MEDIAN('Reference Data'!$H$1,'Reference Data'!$H$2,$G175+3*IF($G175='Reference Data'!$H$2,1,-1)))</f>
        <v/>
      </c>
      <c r="N175" s="18" t="str">
        <f>IFERROR(INDEX('Reference Data'!$D$2:$D$6,MATCH($O175,'Reference Data'!$E$2:$E$6,0)),"")</f>
        <v/>
      </c>
      <c r="O175" s="22" t="str">
        <f>IF($G175="","",MEDIAN('Reference Data'!$H$1,'Reference Data'!$H$2,$G175+4*IF($G175='Reference Data'!$H$2,1,-1)))</f>
        <v/>
      </c>
      <c r="P175" s="15"/>
      <c r="Q175" s="18"/>
      <c r="R175" s="20"/>
      <c r="S175" s="39" t="str">
        <f>IF($D175="","",IF($D175='Reference Data'!$A$11,"",IFERROR(IF(VLOOKUP($D175,'Reference Data'!$A$9:$C$11,3,FALSE)="",1,VLOOKUP($D175,'Reference Data'!$A$9:$C$11,3,FALSE)),1)))</f>
        <v/>
      </c>
      <c r="T175" s="40" t="str">
        <f>IF($D175="","",IFERROR(VLOOKUP($D175,'Reference Data'!$A$9:$B$11,2,FALSE),""))</f>
        <v/>
      </c>
      <c r="U175" s="15"/>
    </row>
    <row r="176" spans="1:21" ht="22.05" customHeight="1" x14ac:dyDescent="0.4">
      <c r="A176" s="43"/>
      <c r="B176" s="46"/>
      <c r="C176" s="12"/>
      <c r="D176" s="13"/>
      <c r="E176" s="14"/>
      <c r="F176" s="15" t="str">
        <f>IFERROR(INDEX('Reference Data'!$D$2:$D$6,MATCH($G176,'Reference Data'!$E$2:$E$6,0)),"")</f>
        <v/>
      </c>
      <c r="G176" s="21" t="str">
        <f>IF($D176="Scale",'Reference Data'!$H$2,"")</f>
        <v/>
      </c>
      <c r="H176" s="17" t="str">
        <f>IFERROR(INDEX('Reference Data'!$D$2:$D$6,MATCH($I176,'Reference Data'!$E$2:$E$6,0)),"")</f>
        <v/>
      </c>
      <c r="I176" s="21" t="str">
        <f>IF($G176="","",MEDIAN('Reference Data'!$H$1,'Reference Data'!$H$2,$G176+1*IF($G176='Reference Data'!$H$2,1,-1)))</f>
        <v/>
      </c>
      <c r="J176" s="17" t="str">
        <f>IFERROR(INDEX('Reference Data'!$D$2:$D$6,MATCH($K176,'Reference Data'!$E$2:$E$6,0)),"")</f>
        <v/>
      </c>
      <c r="K176" s="21" t="str">
        <f>IF($G176="","",MEDIAN('Reference Data'!$H$1,'Reference Data'!$H$2,$G176+2*IF($G176='Reference Data'!$H$2,1,-1)))</f>
        <v/>
      </c>
      <c r="L176" s="17" t="str">
        <f>IFERROR(INDEX('Reference Data'!$D$2:$D$6,MATCH($M176,'Reference Data'!$E$2:$E$6,0)),"")</f>
        <v/>
      </c>
      <c r="M176" s="21" t="str">
        <f>IF($G176="","",MEDIAN('Reference Data'!$H$1,'Reference Data'!$H$2,$G176+3*IF($G176='Reference Data'!$H$2,1,-1)))</f>
        <v/>
      </c>
      <c r="N176" s="18" t="str">
        <f>IFERROR(INDEX('Reference Data'!$D$2:$D$6,MATCH($O176,'Reference Data'!$E$2:$E$6,0)),"")</f>
        <v/>
      </c>
      <c r="O176" s="22" t="str">
        <f>IF($G176="","",MEDIAN('Reference Data'!$H$1,'Reference Data'!$H$2,$G176+4*IF($G176='Reference Data'!$H$2,1,-1)))</f>
        <v/>
      </c>
      <c r="P176" s="15"/>
      <c r="Q176" s="18"/>
      <c r="R176" s="20"/>
      <c r="S176" s="39" t="str">
        <f>IF($D176="","",IF($D176='Reference Data'!$A$11,"",IFERROR(IF(VLOOKUP($D176,'Reference Data'!$A$9:$C$11,3,FALSE)="",1,VLOOKUP($D176,'Reference Data'!$A$9:$C$11,3,FALSE)),1)))</f>
        <v/>
      </c>
      <c r="T176" s="40" t="str">
        <f>IF($D176="","",IFERROR(VLOOKUP($D176,'Reference Data'!$A$9:$B$11,2,FALSE),""))</f>
        <v/>
      </c>
      <c r="U176" s="15"/>
    </row>
    <row r="177" spans="1:21" ht="22.05" customHeight="1" x14ac:dyDescent="0.4">
      <c r="A177" s="43"/>
      <c r="B177" s="46"/>
      <c r="C177" s="12"/>
      <c r="D177" s="13"/>
      <c r="E177" s="14"/>
      <c r="F177" s="15" t="str">
        <f>IFERROR(INDEX('Reference Data'!$D$2:$D$6,MATCH($G177,'Reference Data'!$E$2:$E$6,0)),"")</f>
        <v/>
      </c>
      <c r="G177" s="21" t="str">
        <f>IF($D177="Scale",'Reference Data'!$H$2,"")</f>
        <v/>
      </c>
      <c r="H177" s="17" t="str">
        <f>IFERROR(INDEX('Reference Data'!$D$2:$D$6,MATCH($I177,'Reference Data'!$E$2:$E$6,0)),"")</f>
        <v/>
      </c>
      <c r="I177" s="21" t="str">
        <f>IF($G177="","",MEDIAN('Reference Data'!$H$1,'Reference Data'!$H$2,$G177+1*IF($G177='Reference Data'!$H$2,1,-1)))</f>
        <v/>
      </c>
      <c r="J177" s="17" t="str">
        <f>IFERROR(INDEX('Reference Data'!$D$2:$D$6,MATCH($K177,'Reference Data'!$E$2:$E$6,0)),"")</f>
        <v/>
      </c>
      <c r="K177" s="21" t="str">
        <f>IF($G177="","",MEDIAN('Reference Data'!$H$1,'Reference Data'!$H$2,$G177+2*IF($G177='Reference Data'!$H$2,1,-1)))</f>
        <v/>
      </c>
      <c r="L177" s="17" t="str">
        <f>IFERROR(INDEX('Reference Data'!$D$2:$D$6,MATCH($M177,'Reference Data'!$E$2:$E$6,0)),"")</f>
        <v/>
      </c>
      <c r="M177" s="21" t="str">
        <f>IF($G177="","",MEDIAN('Reference Data'!$H$1,'Reference Data'!$H$2,$G177+3*IF($G177='Reference Data'!$H$2,1,-1)))</f>
        <v/>
      </c>
      <c r="N177" s="18" t="str">
        <f>IFERROR(INDEX('Reference Data'!$D$2:$D$6,MATCH($O177,'Reference Data'!$E$2:$E$6,0)),"")</f>
        <v/>
      </c>
      <c r="O177" s="22" t="str">
        <f>IF($G177="","",MEDIAN('Reference Data'!$H$1,'Reference Data'!$H$2,$G177+4*IF($G177='Reference Data'!$H$2,1,-1)))</f>
        <v/>
      </c>
      <c r="P177" s="15"/>
      <c r="Q177" s="18"/>
      <c r="R177" s="20"/>
      <c r="S177" s="39" t="str">
        <f>IF($D177="","",IF($D177='Reference Data'!$A$11,"",IFERROR(IF(VLOOKUP($D177,'Reference Data'!$A$9:$C$11,3,FALSE)="",1,VLOOKUP($D177,'Reference Data'!$A$9:$C$11,3,FALSE)),1)))</f>
        <v/>
      </c>
      <c r="T177" s="40" t="str">
        <f>IF($D177="","",IFERROR(VLOOKUP($D177,'Reference Data'!$A$9:$B$11,2,FALSE),""))</f>
        <v/>
      </c>
      <c r="U177" s="15"/>
    </row>
    <row r="178" spans="1:21" ht="22.05" customHeight="1" x14ac:dyDescent="0.4">
      <c r="A178" s="43"/>
      <c r="B178" s="46"/>
      <c r="C178" s="12"/>
      <c r="D178" s="13"/>
      <c r="E178" s="14"/>
      <c r="F178" s="15" t="str">
        <f>IFERROR(INDEX('Reference Data'!$D$2:$D$6,MATCH($G178,'Reference Data'!$E$2:$E$6,0)),"")</f>
        <v/>
      </c>
      <c r="G178" s="21" t="str">
        <f>IF($D178="Scale",'Reference Data'!$H$2,"")</f>
        <v/>
      </c>
      <c r="H178" s="17" t="str">
        <f>IFERROR(INDEX('Reference Data'!$D$2:$D$6,MATCH($I178,'Reference Data'!$E$2:$E$6,0)),"")</f>
        <v/>
      </c>
      <c r="I178" s="21" t="str">
        <f>IF($G178="","",MEDIAN('Reference Data'!$H$1,'Reference Data'!$H$2,$G178+1*IF($G178='Reference Data'!$H$2,1,-1)))</f>
        <v/>
      </c>
      <c r="J178" s="17" t="str">
        <f>IFERROR(INDEX('Reference Data'!$D$2:$D$6,MATCH($K178,'Reference Data'!$E$2:$E$6,0)),"")</f>
        <v/>
      </c>
      <c r="K178" s="21" t="str">
        <f>IF($G178="","",MEDIAN('Reference Data'!$H$1,'Reference Data'!$H$2,$G178+2*IF($G178='Reference Data'!$H$2,1,-1)))</f>
        <v/>
      </c>
      <c r="L178" s="17" t="str">
        <f>IFERROR(INDEX('Reference Data'!$D$2:$D$6,MATCH($M178,'Reference Data'!$E$2:$E$6,0)),"")</f>
        <v/>
      </c>
      <c r="M178" s="21" t="str">
        <f>IF($G178="","",MEDIAN('Reference Data'!$H$1,'Reference Data'!$H$2,$G178+3*IF($G178='Reference Data'!$H$2,1,-1)))</f>
        <v/>
      </c>
      <c r="N178" s="18" t="str">
        <f>IFERROR(INDEX('Reference Data'!$D$2:$D$6,MATCH($O178,'Reference Data'!$E$2:$E$6,0)),"")</f>
        <v/>
      </c>
      <c r="O178" s="22" t="str">
        <f>IF($G178="","",MEDIAN('Reference Data'!$H$1,'Reference Data'!$H$2,$G178+4*IF($G178='Reference Data'!$H$2,1,-1)))</f>
        <v/>
      </c>
      <c r="P178" s="15"/>
      <c r="Q178" s="18"/>
      <c r="R178" s="20"/>
      <c r="S178" s="39" t="str">
        <f>IF($D178="","",IF($D178='Reference Data'!$A$11,"",IFERROR(IF(VLOOKUP($D178,'Reference Data'!$A$9:$C$11,3,FALSE)="",1,VLOOKUP($D178,'Reference Data'!$A$9:$C$11,3,FALSE)),1)))</f>
        <v/>
      </c>
      <c r="T178" s="40" t="str">
        <f>IF($D178="","",IFERROR(VLOOKUP($D178,'Reference Data'!$A$9:$B$11,2,FALSE),""))</f>
        <v/>
      </c>
      <c r="U178" s="15"/>
    </row>
    <row r="179" spans="1:21" ht="22.05" customHeight="1" x14ac:dyDescent="0.4">
      <c r="A179" s="43"/>
      <c r="B179" s="46"/>
      <c r="C179" s="12"/>
      <c r="D179" s="13"/>
      <c r="E179" s="14"/>
      <c r="F179" s="15" t="str">
        <f>IFERROR(INDEX('Reference Data'!$D$2:$D$6,MATCH($G179,'Reference Data'!$E$2:$E$6,0)),"")</f>
        <v/>
      </c>
      <c r="G179" s="21" t="str">
        <f>IF($D179="Scale",'Reference Data'!$H$2,"")</f>
        <v/>
      </c>
      <c r="H179" s="17" t="str">
        <f>IFERROR(INDEX('Reference Data'!$D$2:$D$6,MATCH($I179,'Reference Data'!$E$2:$E$6,0)),"")</f>
        <v/>
      </c>
      <c r="I179" s="21" t="str">
        <f>IF($G179="","",MEDIAN('Reference Data'!$H$1,'Reference Data'!$H$2,$G179+1*IF($G179='Reference Data'!$H$2,1,-1)))</f>
        <v/>
      </c>
      <c r="J179" s="17" t="str">
        <f>IFERROR(INDEX('Reference Data'!$D$2:$D$6,MATCH($K179,'Reference Data'!$E$2:$E$6,0)),"")</f>
        <v/>
      </c>
      <c r="K179" s="21" t="str">
        <f>IF($G179="","",MEDIAN('Reference Data'!$H$1,'Reference Data'!$H$2,$G179+2*IF($G179='Reference Data'!$H$2,1,-1)))</f>
        <v/>
      </c>
      <c r="L179" s="17" t="str">
        <f>IFERROR(INDEX('Reference Data'!$D$2:$D$6,MATCH($M179,'Reference Data'!$E$2:$E$6,0)),"")</f>
        <v/>
      </c>
      <c r="M179" s="21" t="str">
        <f>IF($G179="","",MEDIAN('Reference Data'!$H$1,'Reference Data'!$H$2,$G179+3*IF($G179='Reference Data'!$H$2,1,-1)))</f>
        <v/>
      </c>
      <c r="N179" s="18" t="str">
        <f>IFERROR(INDEX('Reference Data'!$D$2:$D$6,MATCH($O179,'Reference Data'!$E$2:$E$6,0)),"")</f>
        <v/>
      </c>
      <c r="O179" s="22" t="str">
        <f>IF($G179="","",MEDIAN('Reference Data'!$H$1,'Reference Data'!$H$2,$G179+4*IF($G179='Reference Data'!$H$2,1,-1)))</f>
        <v/>
      </c>
      <c r="P179" s="15"/>
      <c r="Q179" s="18"/>
      <c r="R179" s="20"/>
      <c r="S179" s="39" t="str">
        <f>IF($D179="","",IF($D179='Reference Data'!$A$11,"",IFERROR(IF(VLOOKUP($D179,'Reference Data'!$A$9:$C$11,3,FALSE)="",1,VLOOKUP($D179,'Reference Data'!$A$9:$C$11,3,FALSE)),1)))</f>
        <v/>
      </c>
      <c r="T179" s="40" t="str">
        <f>IF($D179="","",IFERROR(VLOOKUP($D179,'Reference Data'!$A$9:$B$11,2,FALSE),""))</f>
        <v/>
      </c>
      <c r="U179" s="15"/>
    </row>
    <row r="180" spans="1:21" ht="22.05" customHeight="1" x14ac:dyDescent="0.4">
      <c r="A180" s="43"/>
      <c r="B180" s="46"/>
      <c r="C180" s="12"/>
      <c r="D180" s="13"/>
      <c r="E180" s="14"/>
      <c r="F180" s="15" t="str">
        <f>IFERROR(INDEX('Reference Data'!$D$2:$D$6,MATCH($G180,'Reference Data'!$E$2:$E$6,0)),"")</f>
        <v/>
      </c>
      <c r="G180" s="21" t="str">
        <f>IF($D180="Scale",'Reference Data'!$H$2,"")</f>
        <v/>
      </c>
      <c r="H180" s="17" t="str">
        <f>IFERROR(INDEX('Reference Data'!$D$2:$D$6,MATCH($I180,'Reference Data'!$E$2:$E$6,0)),"")</f>
        <v/>
      </c>
      <c r="I180" s="21" t="str">
        <f>IF($G180="","",MEDIAN('Reference Data'!$H$1,'Reference Data'!$H$2,$G180+1*IF($G180='Reference Data'!$H$2,1,-1)))</f>
        <v/>
      </c>
      <c r="J180" s="17" t="str">
        <f>IFERROR(INDEX('Reference Data'!$D$2:$D$6,MATCH($K180,'Reference Data'!$E$2:$E$6,0)),"")</f>
        <v/>
      </c>
      <c r="K180" s="21" t="str">
        <f>IF($G180="","",MEDIAN('Reference Data'!$H$1,'Reference Data'!$H$2,$G180+2*IF($G180='Reference Data'!$H$2,1,-1)))</f>
        <v/>
      </c>
      <c r="L180" s="17" t="str">
        <f>IFERROR(INDEX('Reference Data'!$D$2:$D$6,MATCH($M180,'Reference Data'!$E$2:$E$6,0)),"")</f>
        <v/>
      </c>
      <c r="M180" s="21" t="str">
        <f>IF($G180="","",MEDIAN('Reference Data'!$H$1,'Reference Data'!$H$2,$G180+3*IF($G180='Reference Data'!$H$2,1,-1)))</f>
        <v/>
      </c>
      <c r="N180" s="18" t="str">
        <f>IFERROR(INDEX('Reference Data'!$D$2:$D$6,MATCH($O180,'Reference Data'!$E$2:$E$6,0)),"")</f>
        <v/>
      </c>
      <c r="O180" s="22" t="str">
        <f>IF($G180="","",MEDIAN('Reference Data'!$H$1,'Reference Data'!$H$2,$G180+4*IF($G180='Reference Data'!$H$2,1,-1)))</f>
        <v/>
      </c>
      <c r="P180" s="15"/>
      <c r="Q180" s="18"/>
      <c r="R180" s="20"/>
      <c r="S180" s="39" t="str">
        <f>IF($D180="","",IF($D180='Reference Data'!$A$11,"",IFERROR(IF(VLOOKUP($D180,'Reference Data'!$A$9:$C$11,3,FALSE)="",1,VLOOKUP($D180,'Reference Data'!$A$9:$C$11,3,FALSE)),1)))</f>
        <v/>
      </c>
      <c r="T180" s="40" t="str">
        <f>IF($D180="","",IFERROR(VLOOKUP($D180,'Reference Data'!$A$9:$B$11,2,FALSE),""))</f>
        <v/>
      </c>
      <c r="U180" s="15"/>
    </row>
    <row r="181" spans="1:21" ht="22.05" customHeight="1" x14ac:dyDescent="0.4">
      <c r="A181" s="43"/>
      <c r="B181" s="46"/>
      <c r="C181" s="12"/>
      <c r="D181" s="13"/>
      <c r="E181" s="14"/>
      <c r="F181" s="15" t="str">
        <f>IFERROR(INDEX('Reference Data'!$D$2:$D$6,MATCH($G181,'Reference Data'!$E$2:$E$6,0)),"")</f>
        <v/>
      </c>
      <c r="G181" s="21" t="str">
        <f>IF($D181="Scale",'Reference Data'!$H$2,"")</f>
        <v/>
      </c>
      <c r="H181" s="17" t="str">
        <f>IFERROR(INDEX('Reference Data'!$D$2:$D$6,MATCH($I181,'Reference Data'!$E$2:$E$6,0)),"")</f>
        <v/>
      </c>
      <c r="I181" s="21" t="str">
        <f>IF($G181="","",MEDIAN('Reference Data'!$H$1,'Reference Data'!$H$2,$G181+1*IF($G181='Reference Data'!$H$2,1,-1)))</f>
        <v/>
      </c>
      <c r="J181" s="17" t="str">
        <f>IFERROR(INDEX('Reference Data'!$D$2:$D$6,MATCH($K181,'Reference Data'!$E$2:$E$6,0)),"")</f>
        <v/>
      </c>
      <c r="K181" s="21" t="str">
        <f>IF($G181="","",MEDIAN('Reference Data'!$H$1,'Reference Data'!$H$2,$G181+2*IF($G181='Reference Data'!$H$2,1,-1)))</f>
        <v/>
      </c>
      <c r="L181" s="17" t="str">
        <f>IFERROR(INDEX('Reference Data'!$D$2:$D$6,MATCH($M181,'Reference Data'!$E$2:$E$6,0)),"")</f>
        <v/>
      </c>
      <c r="M181" s="21" t="str">
        <f>IF($G181="","",MEDIAN('Reference Data'!$H$1,'Reference Data'!$H$2,$G181+3*IF($G181='Reference Data'!$H$2,1,-1)))</f>
        <v/>
      </c>
      <c r="N181" s="18" t="str">
        <f>IFERROR(INDEX('Reference Data'!$D$2:$D$6,MATCH($O181,'Reference Data'!$E$2:$E$6,0)),"")</f>
        <v/>
      </c>
      <c r="O181" s="22" t="str">
        <f>IF($G181="","",MEDIAN('Reference Data'!$H$1,'Reference Data'!$H$2,$G181+4*IF($G181='Reference Data'!$H$2,1,-1)))</f>
        <v/>
      </c>
      <c r="P181" s="15"/>
      <c r="Q181" s="18"/>
      <c r="R181" s="20"/>
      <c r="S181" s="39" t="str">
        <f>IF($D181="","",IF($D181='Reference Data'!$A$11,"",IFERROR(IF(VLOOKUP($D181,'Reference Data'!$A$9:$C$11,3,FALSE)="",1,VLOOKUP($D181,'Reference Data'!$A$9:$C$11,3,FALSE)),1)))</f>
        <v/>
      </c>
      <c r="T181" s="40" t="str">
        <f>IF($D181="","",IFERROR(VLOOKUP($D181,'Reference Data'!$A$9:$B$11,2,FALSE),""))</f>
        <v/>
      </c>
      <c r="U181" s="15"/>
    </row>
    <row r="182" spans="1:21" ht="22.05" customHeight="1" x14ac:dyDescent="0.4">
      <c r="A182" s="43"/>
      <c r="B182" s="46"/>
      <c r="C182" s="12"/>
      <c r="D182" s="13"/>
      <c r="E182" s="14"/>
      <c r="F182" s="15" t="str">
        <f>IFERROR(INDEX('Reference Data'!$D$2:$D$6,MATCH($G182,'Reference Data'!$E$2:$E$6,0)),"")</f>
        <v/>
      </c>
      <c r="G182" s="21" t="str">
        <f>IF($D182="Scale",'Reference Data'!$H$2,"")</f>
        <v/>
      </c>
      <c r="H182" s="17" t="str">
        <f>IFERROR(INDEX('Reference Data'!$D$2:$D$6,MATCH($I182,'Reference Data'!$E$2:$E$6,0)),"")</f>
        <v/>
      </c>
      <c r="I182" s="21" t="str">
        <f>IF($G182="","",MEDIAN('Reference Data'!$H$1,'Reference Data'!$H$2,$G182+1*IF($G182='Reference Data'!$H$2,1,-1)))</f>
        <v/>
      </c>
      <c r="J182" s="17" t="str">
        <f>IFERROR(INDEX('Reference Data'!$D$2:$D$6,MATCH($K182,'Reference Data'!$E$2:$E$6,0)),"")</f>
        <v/>
      </c>
      <c r="K182" s="21" t="str">
        <f>IF($G182="","",MEDIAN('Reference Data'!$H$1,'Reference Data'!$H$2,$G182+2*IF($G182='Reference Data'!$H$2,1,-1)))</f>
        <v/>
      </c>
      <c r="L182" s="17" t="str">
        <f>IFERROR(INDEX('Reference Data'!$D$2:$D$6,MATCH($M182,'Reference Data'!$E$2:$E$6,0)),"")</f>
        <v/>
      </c>
      <c r="M182" s="21" t="str">
        <f>IF($G182="","",MEDIAN('Reference Data'!$H$1,'Reference Data'!$H$2,$G182+3*IF($G182='Reference Data'!$H$2,1,-1)))</f>
        <v/>
      </c>
      <c r="N182" s="18" t="str">
        <f>IFERROR(INDEX('Reference Data'!$D$2:$D$6,MATCH($O182,'Reference Data'!$E$2:$E$6,0)),"")</f>
        <v/>
      </c>
      <c r="O182" s="22" t="str">
        <f>IF($G182="","",MEDIAN('Reference Data'!$H$1,'Reference Data'!$H$2,$G182+4*IF($G182='Reference Data'!$H$2,1,-1)))</f>
        <v/>
      </c>
      <c r="P182" s="15"/>
      <c r="Q182" s="18"/>
      <c r="R182" s="20"/>
      <c r="S182" s="39" t="str">
        <f>IF($D182="","",IF($D182='Reference Data'!$A$11,"",IFERROR(IF(VLOOKUP($D182,'Reference Data'!$A$9:$C$11,3,FALSE)="",1,VLOOKUP($D182,'Reference Data'!$A$9:$C$11,3,FALSE)),1)))</f>
        <v/>
      </c>
      <c r="T182" s="40" t="str">
        <f>IF($D182="","",IFERROR(VLOOKUP($D182,'Reference Data'!$A$9:$B$11,2,FALSE),""))</f>
        <v/>
      </c>
      <c r="U182" s="15"/>
    </row>
    <row r="183" spans="1:21" ht="22.05" customHeight="1" x14ac:dyDescent="0.4">
      <c r="A183" s="43"/>
      <c r="B183" s="46"/>
      <c r="C183" s="12"/>
      <c r="D183" s="13"/>
      <c r="E183" s="14"/>
      <c r="F183" s="15" t="str">
        <f>IFERROR(INDEX('Reference Data'!$D$2:$D$6,MATCH($G183,'Reference Data'!$E$2:$E$6,0)),"")</f>
        <v/>
      </c>
      <c r="G183" s="21" t="str">
        <f>IF($D183="Scale",'Reference Data'!$H$2,"")</f>
        <v/>
      </c>
      <c r="H183" s="17" t="str">
        <f>IFERROR(INDEX('Reference Data'!$D$2:$D$6,MATCH($I183,'Reference Data'!$E$2:$E$6,0)),"")</f>
        <v/>
      </c>
      <c r="I183" s="21" t="str">
        <f>IF($G183="","",MEDIAN('Reference Data'!$H$1,'Reference Data'!$H$2,$G183+1*IF($G183='Reference Data'!$H$2,1,-1)))</f>
        <v/>
      </c>
      <c r="J183" s="17" t="str">
        <f>IFERROR(INDEX('Reference Data'!$D$2:$D$6,MATCH($K183,'Reference Data'!$E$2:$E$6,0)),"")</f>
        <v/>
      </c>
      <c r="K183" s="21" t="str">
        <f>IF($G183="","",MEDIAN('Reference Data'!$H$1,'Reference Data'!$H$2,$G183+2*IF($G183='Reference Data'!$H$2,1,-1)))</f>
        <v/>
      </c>
      <c r="L183" s="17" t="str">
        <f>IFERROR(INDEX('Reference Data'!$D$2:$D$6,MATCH($M183,'Reference Data'!$E$2:$E$6,0)),"")</f>
        <v/>
      </c>
      <c r="M183" s="21" t="str">
        <f>IF($G183="","",MEDIAN('Reference Data'!$H$1,'Reference Data'!$H$2,$G183+3*IF($G183='Reference Data'!$H$2,1,-1)))</f>
        <v/>
      </c>
      <c r="N183" s="18" t="str">
        <f>IFERROR(INDEX('Reference Data'!$D$2:$D$6,MATCH($O183,'Reference Data'!$E$2:$E$6,0)),"")</f>
        <v/>
      </c>
      <c r="O183" s="22" t="str">
        <f>IF($G183="","",MEDIAN('Reference Data'!$H$1,'Reference Data'!$H$2,$G183+4*IF($G183='Reference Data'!$H$2,1,-1)))</f>
        <v/>
      </c>
      <c r="P183" s="15"/>
      <c r="Q183" s="18"/>
      <c r="R183" s="20"/>
      <c r="S183" s="39" t="str">
        <f>IF($D183="","",IF($D183='Reference Data'!$A$11,"",IFERROR(IF(VLOOKUP($D183,'Reference Data'!$A$9:$C$11,3,FALSE)="",1,VLOOKUP($D183,'Reference Data'!$A$9:$C$11,3,FALSE)),1)))</f>
        <v/>
      </c>
      <c r="T183" s="40" t="str">
        <f>IF($D183="","",IFERROR(VLOOKUP($D183,'Reference Data'!$A$9:$B$11,2,FALSE),""))</f>
        <v/>
      </c>
      <c r="U183" s="15"/>
    </row>
    <row r="184" spans="1:21" ht="22.05" customHeight="1" x14ac:dyDescent="0.4">
      <c r="A184" s="43"/>
      <c r="B184" s="46"/>
      <c r="C184" s="12"/>
      <c r="D184" s="13"/>
      <c r="E184" s="14"/>
      <c r="F184" s="15" t="str">
        <f>IFERROR(INDEX('Reference Data'!$D$2:$D$6,MATCH($G184,'Reference Data'!$E$2:$E$6,0)),"")</f>
        <v/>
      </c>
      <c r="G184" s="21" t="str">
        <f>IF($D184="Scale",'Reference Data'!$H$2,"")</f>
        <v/>
      </c>
      <c r="H184" s="17" t="str">
        <f>IFERROR(INDEX('Reference Data'!$D$2:$D$6,MATCH($I184,'Reference Data'!$E$2:$E$6,0)),"")</f>
        <v/>
      </c>
      <c r="I184" s="21" t="str">
        <f>IF($G184="","",MEDIAN('Reference Data'!$H$1,'Reference Data'!$H$2,$G184+1*IF($G184='Reference Data'!$H$2,1,-1)))</f>
        <v/>
      </c>
      <c r="J184" s="17" t="str">
        <f>IFERROR(INDEX('Reference Data'!$D$2:$D$6,MATCH($K184,'Reference Data'!$E$2:$E$6,0)),"")</f>
        <v/>
      </c>
      <c r="K184" s="21" t="str">
        <f>IF($G184="","",MEDIAN('Reference Data'!$H$1,'Reference Data'!$H$2,$G184+2*IF($G184='Reference Data'!$H$2,1,-1)))</f>
        <v/>
      </c>
      <c r="L184" s="17" t="str">
        <f>IFERROR(INDEX('Reference Data'!$D$2:$D$6,MATCH($M184,'Reference Data'!$E$2:$E$6,0)),"")</f>
        <v/>
      </c>
      <c r="M184" s="21" t="str">
        <f>IF($G184="","",MEDIAN('Reference Data'!$H$1,'Reference Data'!$H$2,$G184+3*IF($G184='Reference Data'!$H$2,1,-1)))</f>
        <v/>
      </c>
      <c r="N184" s="18" t="str">
        <f>IFERROR(INDEX('Reference Data'!$D$2:$D$6,MATCH($O184,'Reference Data'!$E$2:$E$6,0)),"")</f>
        <v/>
      </c>
      <c r="O184" s="22" t="str">
        <f>IF($G184="","",MEDIAN('Reference Data'!$H$1,'Reference Data'!$H$2,$G184+4*IF($G184='Reference Data'!$H$2,1,-1)))</f>
        <v/>
      </c>
      <c r="P184" s="15"/>
      <c r="Q184" s="18"/>
      <c r="R184" s="20"/>
      <c r="S184" s="39" t="str">
        <f>IF($D184="","",IF($D184='Reference Data'!$A$11,"",IFERROR(IF(VLOOKUP($D184,'Reference Data'!$A$9:$C$11,3,FALSE)="",1,VLOOKUP($D184,'Reference Data'!$A$9:$C$11,3,FALSE)),1)))</f>
        <v/>
      </c>
      <c r="T184" s="40" t="str">
        <f>IF($D184="","",IFERROR(VLOOKUP($D184,'Reference Data'!$A$9:$B$11,2,FALSE),""))</f>
        <v/>
      </c>
      <c r="U184" s="15"/>
    </row>
    <row r="185" spans="1:21" ht="22.05" customHeight="1" x14ac:dyDescent="0.4">
      <c r="A185" s="43"/>
      <c r="B185" s="46"/>
      <c r="C185" s="12"/>
      <c r="D185" s="13"/>
      <c r="E185" s="14"/>
      <c r="F185" s="15" t="str">
        <f>IFERROR(INDEX('Reference Data'!$D$2:$D$6,MATCH($G185,'Reference Data'!$E$2:$E$6,0)),"")</f>
        <v/>
      </c>
      <c r="G185" s="21" t="str">
        <f>IF($D185="Scale",'Reference Data'!$H$2,"")</f>
        <v/>
      </c>
      <c r="H185" s="17" t="str">
        <f>IFERROR(INDEX('Reference Data'!$D$2:$D$6,MATCH($I185,'Reference Data'!$E$2:$E$6,0)),"")</f>
        <v/>
      </c>
      <c r="I185" s="21" t="str">
        <f>IF($G185="","",MEDIAN('Reference Data'!$H$1,'Reference Data'!$H$2,$G185+1*IF($G185='Reference Data'!$H$2,1,-1)))</f>
        <v/>
      </c>
      <c r="J185" s="17" t="str">
        <f>IFERROR(INDEX('Reference Data'!$D$2:$D$6,MATCH($K185,'Reference Data'!$E$2:$E$6,0)),"")</f>
        <v/>
      </c>
      <c r="K185" s="21" t="str">
        <f>IF($G185="","",MEDIAN('Reference Data'!$H$1,'Reference Data'!$H$2,$G185+2*IF($G185='Reference Data'!$H$2,1,-1)))</f>
        <v/>
      </c>
      <c r="L185" s="17" t="str">
        <f>IFERROR(INDEX('Reference Data'!$D$2:$D$6,MATCH($M185,'Reference Data'!$E$2:$E$6,0)),"")</f>
        <v/>
      </c>
      <c r="M185" s="21" t="str">
        <f>IF($G185="","",MEDIAN('Reference Data'!$H$1,'Reference Data'!$H$2,$G185+3*IF($G185='Reference Data'!$H$2,1,-1)))</f>
        <v/>
      </c>
      <c r="N185" s="18" t="str">
        <f>IFERROR(INDEX('Reference Data'!$D$2:$D$6,MATCH($O185,'Reference Data'!$E$2:$E$6,0)),"")</f>
        <v/>
      </c>
      <c r="O185" s="22" t="str">
        <f>IF($G185="","",MEDIAN('Reference Data'!$H$1,'Reference Data'!$H$2,$G185+4*IF($G185='Reference Data'!$H$2,1,-1)))</f>
        <v/>
      </c>
      <c r="P185" s="15"/>
      <c r="Q185" s="18"/>
      <c r="R185" s="20"/>
      <c r="S185" s="39" t="str">
        <f>IF($D185="","",IF($D185='Reference Data'!$A$11,"",IFERROR(IF(VLOOKUP($D185,'Reference Data'!$A$9:$C$11,3,FALSE)="",1,VLOOKUP($D185,'Reference Data'!$A$9:$C$11,3,FALSE)),1)))</f>
        <v/>
      </c>
      <c r="T185" s="40" t="str">
        <f>IF($D185="","",IFERROR(VLOOKUP($D185,'Reference Data'!$A$9:$B$11,2,FALSE),""))</f>
        <v/>
      </c>
      <c r="U185" s="15"/>
    </row>
    <row r="186" spans="1:21" ht="22.05" customHeight="1" x14ac:dyDescent="0.4">
      <c r="A186" s="43"/>
      <c r="B186" s="46"/>
      <c r="C186" s="12"/>
      <c r="D186" s="13"/>
      <c r="E186" s="14"/>
      <c r="F186" s="15" t="str">
        <f>IFERROR(INDEX('Reference Data'!$D$2:$D$6,MATCH($G186,'Reference Data'!$E$2:$E$6,0)),"")</f>
        <v/>
      </c>
      <c r="G186" s="21" t="str">
        <f>IF($D186="Scale",'Reference Data'!$H$2,"")</f>
        <v/>
      </c>
      <c r="H186" s="17" t="str">
        <f>IFERROR(INDEX('Reference Data'!$D$2:$D$6,MATCH($I186,'Reference Data'!$E$2:$E$6,0)),"")</f>
        <v/>
      </c>
      <c r="I186" s="21" t="str">
        <f>IF($G186="","",MEDIAN('Reference Data'!$H$1,'Reference Data'!$H$2,$G186+1*IF($G186='Reference Data'!$H$2,1,-1)))</f>
        <v/>
      </c>
      <c r="J186" s="17" t="str">
        <f>IFERROR(INDEX('Reference Data'!$D$2:$D$6,MATCH($K186,'Reference Data'!$E$2:$E$6,0)),"")</f>
        <v/>
      </c>
      <c r="K186" s="21" t="str">
        <f>IF($G186="","",MEDIAN('Reference Data'!$H$1,'Reference Data'!$H$2,$G186+2*IF($G186='Reference Data'!$H$2,1,-1)))</f>
        <v/>
      </c>
      <c r="L186" s="17" t="str">
        <f>IFERROR(INDEX('Reference Data'!$D$2:$D$6,MATCH($M186,'Reference Data'!$E$2:$E$6,0)),"")</f>
        <v/>
      </c>
      <c r="M186" s="21" t="str">
        <f>IF($G186="","",MEDIAN('Reference Data'!$H$1,'Reference Data'!$H$2,$G186+3*IF($G186='Reference Data'!$H$2,1,-1)))</f>
        <v/>
      </c>
      <c r="N186" s="18" t="str">
        <f>IFERROR(INDEX('Reference Data'!$D$2:$D$6,MATCH($O186,'Reference Data'!$E$2:$E$6,0)),"")</f>
        <v/>
      </c>
      <c r="O186" s="22" t="str">
        <f>IF($G186="","",MEDIAN('Reference Data'!$H$1,'Reference Data'!$H$2,$G186+4*IF($G186='Reference Data'!$H$2,1,-1)))</f>
        <v/>
      </c>
      <c r="P186" s="15"/>
      <c r="Q186" s="18"/>
      <c r="R186" s="20"/>
      <c r="S186" s="39" t="str">
        <f>IF($D186="","",IF($D186='Reference Data'!$A$11,"",IFERROR(IF(VLOOKUP($D186,'Reference Data'!$A$9:$C$11,3,FALSE)="",1,VLOOKUP($D186,'Reference Data'!$A$9:$C$11,3,FALSE)),1)))</f>
        <v/>
      </c>
      <c r="T186" s="40" t="str">
        <f>IF($D186="","",IFERROR(VLOOKUP($D186,'Reference Data'!$A$9:$B$11,2,FALSE),""))</f>
        <v/>
      </c>
      <c r="U186" s="15"/>
    </row>
    <row r="187" spans="1:21" ht="22.05" customHeight="1" x14ac:dyDescent="0.4">
      <c r="A187" s="43"/>
      <c r="B187" s="46"/>
      <c r="C187" s="12"/>
      <c r="D187" s="13"/>
      <c r="E187" s="14"/>
      <c r="F187" s="15" t="str">
        <f>IFERROR(INDEX('Reference Data'!$D$2:$D$6,MATCH($G187,'Reference Data'!$E$2:$E$6,0)),"")</f>
        <v/>
      </c>
      <c r="G187" s="21" t="str">
        <f>IF($D187="Scale",'Reference Data'!$H$2,"")</f>
        <v/>
      </c>
      <c r="H187" s="17" t="str">
        <f>IFERROR(INDEX('Reference Data'!$D$2:$D$6,MATCH($I187,'Reference Data'!$E$2:$E$6,0)),"")</f>
        <v/>
      </c>
      <c r="I187" s="21" t="str">
        <f>IF($G187="","",MEDIAN('Reference Data'!$H$1,'Reference Data'!$H$2,$G187+1*IF($G187='Reference Data'!$H$2,1,-1)))</f>
        <v/>
      </c>
      <c r="J187" s="17" t="str">
        <f>IFERROR(INDEX('Reference Data'!$D$2:$D$6,MATCH($K187,'Reference Data'!$E$2:$E$6,0)),"")</f>
        <v/>
      </c>
      <c r="K187" s="21" t="str">
        <f>IF($G187="","",MEDIAN('Reference Data'!$H$1,'Reference Data'!$H$2,$G187+2*IF($G187='Reference Data'!$H$2,1,-1)))</f>
        <v/>
      </c>
      <c r="L187" s="17" t="str">
        <f>IFERROR(INDEX('Reference Data'!$D$2:$D$6,MATCH($M187,'Reference Data'!$E$2:$E$6,0)),"")</f>
        <v/>
      </c>
      <c r="M187" s="21" t="str">
        <f>IF($G187="","",MEDIAN('Reference Data'!$H$1,'Reference Data'!$H$2,$G187+3*IF($G187='Reference Data'!$H$2,1,-1)))</f>
        <v/>
      </c>
      <c r="N187" s="18" t="str">
        <f>IFERROR(INDEX('Reference Data'!$D$2:$D$6,MATCH($O187,'Reference Data'!$E$2:$E$6,0)),"")</f>
        <v/>
      </c>
      <c r="O187" s="22" t="str">
        <f>IF($G187="","",MEDIAN('Reference Data'!$H$1,'Reference Data'!$H$2,$G187+4*IF($G187='Reference Data'!$H$2,1,-1)))</f>
        <v/>
      </c>
      <c r="P187" s="15"/>
      <c r="Q187" s="18"/>
      <c r="R187" s="20"/>
      <c r="S187" s="39" t="str">
        <f>IF($D187="","",IF($D187='Reference Data'!$A$11,"",IFERROR(IF(VLOOKUP($D187,'Reference Data'!$A$9:$C$11,3,FALSE)="",1,VLOOKUP($D187,'Reference Data'!$A$9:$C$11,3,FALSE)),1)))</f>
        <v/>
      </c>
      <c r="T187" s="40" t="str">
        <f>IF($D187="","",IFERROR(VLOOKUP($D187,'Reference Data'!$A$9:$B$11,2,FALSE),""))</f>
        <v/>
      </c>
      <c r="U187" s="15"/>
    </row>
    <row r="188" spans="1:21" ht="22.05" customHeight="1" x14ac:dyDescent="0.4">
      <c r="A188" s="43"/>
      <c r="B188" s="46"/>
      <c r="C188" s="12"/>
      <c r="D188" s="13"/>
      <c r="E188" s="14"/>
      <c r="F188" s="15" t="str">
        <f>IFERROR(INDEX('Reference Data'!$D$2:$D$6,MATCH($G188,'Reference Data'!$E$2:$E$6,0)),"")</f>
        <v/>
      </c>
      <c r="G188" s="21" t="str">
        <f>IF($D188="Scale",'Reference Data'!$H$2,"")</f>
        <v/>
      </c>
      <c r="H188" s="17" t="str">
        <f>IFERROR(INDEX('Reference Data'!$D$2:$D$6,MATCH($I188,'Reference Data'!$E$2:$E$6,0)),"")</f>
        <v/>
      </c>
      <c r="I188" s="21" t="str">
        <f>IF($G188="","",MEDIAN('Reference Data'!$H$1,'Reference Data'!$H$2,$G188+1*IF($G188='Reference Data'!$H$2,1,-1)))</f>
        <v/>
      </c>
      <c r="J188" s="17" t="str">
        <f>IFERROR(INDEX('Reference Data'!$D$2:$D$6,MATCH($K188,'Reference Data'!$E$2:$E$6,0)),"")</f>
        <v/>
      </c>
      <c r="K188" s="21" t="str">
        <f>IF($G188="","",MEDIAN('Reference Data'!$H$1,'Reference Data'!$H$2,$G188+2*IF($G188='Reference Data'!$H$2,1,-1)))</f>
        <v/>
      </c>
      <c r="L188" s="17" t="str">
        <f>IFERROR(INDEX('Reference Data'!$D$2:$D$6,MATCH($M188,'Reference Data'!$E$2:$E$6,0)),"")</f>
        <v/>
      </c>
      <c r="M188" s="21" t="str">
        <f>IF($G188="","",MEDIAN('Reference Data'!$H$1,'Reference Data'!$H$2,$G188+3*IF($G188='Reference Data'!$H$2,1,-1)))</f>
        <v/>
      </c>
      <c r="N188" s="18" t="str">
        <f>IFERROR(INDEX('Reference Data'!$D$2:$D$6,MATCH($O188,'Reference Data'!$E$2:$E$6,0)),"")</f>
        <v/>
      </c>
      <c r="O188" s="22" t="str">
        <f>IF($G188="","",MEDIAN('Reference Data'!$H$1,'Reference Data'!$H$2,$G188+4*IF($G188='Reference Data'!$H$2,1,-1)))</f>
        <v/>
      </c>
      <c r="P188" s="15"/>
      <c r="Q188" s="18"/>
      <c r="R188" s="20"/>
      <c r="S188" s="39" t="str">
        <f>IF($D188="","",IF($D188='Reference Data'!$A$11,"",IFERROR(IF(VLOOKUP($D188,'Reference Data'!$A$9:$C$11,3,FALSE)="",1,VLOOKUP($D188,'Reference Data'!$A$9:$C$11,3,FALSE)),1)))</f>
        <v/>
      </c>
      <c r="T188" s="40" t="str">
        <f>IF($D188="","",IFERROR(VLOOKUP($D188,'Reference Data'!$A$9:$B$11,2,FALSE),""))</f>
        <v/>
      </c>
      <c r="U188" s="15"/>
    </row>
    <row r="189" spans="1:21" ht="22.05" customHeight="1" x14ac:dyDescent="0.4">
      <c r="A189" s="43"/>
      <c r="B189" s="46"/>
      <c r="C189" s="12"/>
      <c r="D189" s="13"/>
      <c r="E189" s="14"/>
      <c r="F189" s="15" t="str">
        <f>IFERROR(INDEX('Reference Data'!$D$2:$D$6,MATCH($G189,'Reference Data'!$E$2:$E$6,0)),"")</f>
        <v/>
      </c>
      <c r="G189" s="21" t="str">
        <f>IF($D189="Scale",'Reference Data'!$H$2,"")</f>
        <v/>
      </c>
      <c r="H189" s="17" t="str">
        <f>IFERROR(INDEX('Reference Data'!$D$2:$D$6,MATCH($I189,'Reference Data'!$E$2:$E$6,0)),"")</f>
        <v/>
      </c>
      <c r="I189" s="21" t="str">
        <f>IF($G189="","",MEDIAN('Reference Data'!$H$1,'Reference Data'!$H$2,$G189+1*IF($G189='Reference Data'!$H$2,1,-1)))</f>
        <v/>
      </c>
      <c r="J189" s="17" t="str">
        <f>IFERROR(INDEX('Reference Data'!$D$2:$D$6,MATCH($K189,'Reference Data'!$E$2:$E$6,0)),"")</f>
        <v/>
      </c>
      <c r="K189" s="21" t="str">
        <f>IF($G189="","",MEDIAN('Reference Data'!$H$1,'Reference Data'!$H$2,$G189+2*IF($G189='Reference Data'!$H$2,1,-1)))</f>
        <v/>
      </c>
      <c r="L189" s="17" t="str">
        <f>IFERROR(INDEX('Reference Data'!$D$2:$D$6,MATCH($M189,'Reference Data'!$E$2:$E$6,0)),"")</f>
        <v/>
      </c>
      <c r="M189" s="21" t="str">
        <f>IF($G189="","",MEDIAN('Reference Data'!$H$1,'Reference Data'!$H$2,$G189+3*IF($G189='Reference Data'!$H$2,1,-1)))</f>
        <v/>
      </c>
      <c r="N189" s="18" t="str">
        <f>IFERROR(INDEX('Reference Data'!$D$2:$D$6,MATCH($O189,'Reference Data'!$E$2:$E$6,0)),"")</f>
        <v/>
      </c>
      <c r="O189" s="22" t="str">
        <f>IF($G189="","",MEDIAN('Reference Data'!$H$1,'Reference Data'!$H$2,$G189+4*IF($G189='Reference Data'!$H$2,1,-1)))</f>
        <v/>
      </c>
      <c r="P189" s="15"/>
      <c r="Q189" s="18"/>
      <c r="R189" s="20"/>
      <c r="S189" s="39" t="str">
        <f>IF($D189="","",IF($D189='Reference Data'!$A$11,"",IFERROR(IF(VLOOKUP($D189,'Reference Data'!$A$9:$C$11,3,FALSE)="",1,VLOOKUP($D189,'Reference Data'!$A$9:$C$11,3,FALSE)),1)))</f>
        <v/>
      </c>
      <c r="T189" s="40" t="str">
        <f>IF($D189="","",IFERROR(VLOOKUP($D189,'Reference Data'!$A$9:$B$11,2,FALSE),""))</f>
        <v/>
      </c>
      <c r="U189" s="15"/>
    </row>
    <row r="190" spans="1:21" ht="22.05" customHeight="1" x14ac:dyDescent="0.4">
      <c r="A190" s="43"/>
      <c r="B190" s="46"/>
      <c r="C190" s="12"/>
      <c r="D190" s="13"/>
      <c r="E190" s="14"/>
      <c r="F190" s="15" t="str">
        <f>IFERROR(INDEX('Reference Data'!$D$2:$D$6,MATCH($G190,'Reference Data'!$E$2:$E$6,0)),"")</f>
        <v/>
      </c>
      <c r="G190" s="21" t="str">
        <f>IF($D190="Scale",'Reference Data'!$H$2,"")</f>
        <v/>
      </c>
      <c r="H190" s="17" t="str">
        <f>IFERROR(INDEX('Reference Data'!$D$2:$D$6,MATCH($I190,'Reference Data'!$E$2:$E$6,0)),"")</f>
        <v/>
      </c>
      <c r="I190" s="21" t="str">
        <f>IF($G190="","",MEDIAN('Reference Data'!$H$1,'Reference Data'!$H$2,$G190+1*IF($G190='Reference Data'!$H$2,1,-1)))</f>
        <v/>
      </c>
      <c r="J190" s="17" t="str">
        <f>IFERROR(INDEX('Reference Data'!$D$2:$D$6,MATCH($K190,'Reference Data'!$E$2:$E$6,0)),"")</f>
        <v/>
      </c>
      <c r="K190" s="21" t="str">
        <f>IF($G190="","",MEDIAN('Reference Data'!$H$1,'Reference Data'!$H$2,$G190+2*IF($G190='Reference Data'!$H$2,1,-1)))</f>
        <v/>
      </c>
      <c r="L190" s="17" t="str">
        <f>IFERROR(INDEX('Reference Data'!$D$2:$D$6,MATCH($M190,'Reference Data'!$E$2:$E$6,0)),"")</f>
        <v/>
      </c>
      <c r="M190" s="21" t="str">
        <f>IF($G190="","",MEDIAN('Reference Data'!$H$1,'Reference Data'!$H$2,$G190+3*IF($G190='Reference Data'!$H$2,1,-1)))</f>
        <v/>
      </c>
      <c r="N190" s="18" t="str">
        <f>IFERROR(INDEX('Reference Data'!$D$2:$D$6,MATCH($O190,'Reference Data'!$E$2:$E$6,0)),"")</f>
        <v/>
      </c>
      <c r="O190" s="22" t="str">
        <f>IF($G190="","",MEDIAN('Reference Data'!$H$1,'Reference Data'!$H$2,$G190+4*IF($G190='Reference Data'!$H$2,1,-1)))</f>
        <v/>
      </c>
      <c r="P190" s="15"/>
      <c r="Q190" s="18"/>
      <c r="R190" s="20"/>
      <c r="S190" s="39" t="str">
        <f>IF($D190="","",IF($D190='Reference Data'!$A$11,"",IFERROR(IF(VLOOKUP($D190,'Reference Data'!$A$9:$C$11,3,FALSE)="",1,VLOOKUP($D190,'Reference Data'!$A$9:$C$11,3,FALSE)),1)))</f>
        <v/>
      </c>
      <c r="T190" s="40" t="str">
        <f>IF($D190="","",IFERROR(VLOOKUP($D190,'Reference Data'!$A$9:$B$11,2,FALSE),""))</f>
        <v/>
      </c>
      <c r="U190" s="15"/>
    </row>
    <row r="191" spans="1:21" ht="22.05" customHeight="1" x14ac:dyDescent="0.4">
      <c r="A191" s="43"/>
      <c r="B191" s="46"/>
      <c r="C191" s="12"/>
      <c r="D191" s="13"/>
      <c r="E191" s="14"/>
      <c r="F191" s="15" t="str">
        <f>IFERROR(INDEX('Reference Data'!$D$2:$D$6,MATCH($G191,'Reference Data'!$E$2:$E$6,0)),"")</f>
        <v/>
      </c>
      <c r="G191" s="21" t="str">
        <f>IF($D191="Scale",'Reference Data'!$H$2,"")</f>
        <v/>
      </c>
      <c r="H191" s="17" t="str">
        <f>IFERROR(INDEX('Reference Data'!$D$2:$D$6,MATCH($I191,'Reference Data'!$E$2:$E$6,0)),"")</f>
        <v/>
      </c>
      <c r="I191" s="21" t="str">
        <f>IF($G191="","",MEDIAN('Reference Data'!$H$1,'Reference Data'!$H$2,$G191+1*IF($G191='Reference Data'!$H$2,1,-1)))</f>
        <v/>
      </c>
      <c r="J191" s="17" t="str">
        <f>IFERROR(INDEX('Reference Data'!$D$2:$D$6,MATCH($K191,'Reference Data'!$E$2:$E$6,0)),"")</f>
        <v/>
      </c>
      <c r="K191" s="21" t="str">
        <f>IF($G191="","",MEDIAN('Reference Data'!$H$1,'Reference Data'!$H$2,$G191+2*IF($G191='Reference Data'!$H$2,1,-1)))</f>
        <v/>
      </c>
      <c r="L191" s="17" t="str">
        <f>IFERROR(INDEX('Reference Data'!$D$2:$D$6,MATCH($M191,'Reference Data'!$E$2:$E$6,0)),"")</f>
        <v/>
      </c>
      <c r="M191" s="21" t="str">
        <f>IF($G191="","",MEDIAN('Reference Data'!$H$1,'Reference Data'!$H$2,$G191+3*IF($G191='Reference Data'!$H$2,1,-1)))</f>
        <v/>
      </c>
      <c r="N191" s="18" t="str">
        <f>IFERROR(INDEX('Reference Data'!$D$2:$D$6,MATCH($O191,'Reference Data'!$E$2:$E$6,0)),"")</f>
        <v/>
      </c>
      <c r="O191" s="22" t="str">
        <f>IF($G191="","",MEDIAN('Reference Data'!$H$1,'Reference Data'!$H$2,$G191+4*IF($G191='Reference Data'!$H$2,1,-1)))</f>
        <v/>
      </c>
      <c r="P191" s="15"/>
      <c r="Q191" s="18"/>
      <c r="R191" s="20"/>
      <c r="S191" s="39" t="str">
        <f>IF($D191="","",IF($D191='Reference Data'!$A$11,"",IFERROR(IF(VLOOKUP($D191,'Reference Data'!$A$9:$C$11,3,FALSE)="",1,VLOOKUP($D191,'Reference Data'!$A$9:$C$11,3,FALSE)),1)))</f>
        <v/>
      </c>
      <c r="T191" s="40" t="str">
        <f>IF($D191="","",IFERROR(VLOOKUP($D191,'Reference Data'!$A$9:$B$11,2,FALSE),""))</f>
        <v/>
      </c>
      <c r="U191" s="15"/>
    </row>
    <row r="192" spans="1:21" ht="22.05" customHeight="1" x14ac:dyDescent="0.4">
      <c r="A192" s="43"/>
      <c r="B192" s="46"/>
      <c r="C192" s="12"/>
      <c r="D192" s="13"/>
      <c r="E192" s="14"/>
      <c r="F192" s="15" t="str">
        <f>IFERROR(INDEX('Reference Data'!$D$2:$D$6,MATCH($G192,'Reference Data'!$E$2:$E$6,0)),"")</f>
        <v/>
      </c>
      <c r="G192" s="21" t="str">
        <f>IF($D192="Scale",'Reference Data'!$H$2,"")</f>
        <v/>
      </c>
      <c r="H192" s="17" t="str">
        <f>IFERROR(INDEX('Reference Data'!$D$2:$D$6,MATCH($I192,'Reference Data'!$E$2:$E$6,0)),"")</f>
        <v/>
      </c>
      <c r="I192" s="21" t="str">
        <f>IF($G192="","",MEDIAN('Reference Data'!$H$1,'Reference Data'!$H$2,$G192+1*IF($G192='Reference Data'!$H$2,1,-1)))</f>
        <v/>
      </c>
      <c r="J192" s="17" t="str">
        <f>IFERROR(INDEX('Reference Data'!$D$2:$D$6,MATCH($K192,'Reference Data'!$E$2:$E$6,0)),"")</f>
        <v/>
      </c>
      <c r="K192" s="21" t="str">
        <f>IF($G192="","",MEDIAN('Reference Data'!$H$1,'Reference Data'!$H$2,$G192+2*IF($G192='Reference Data'!$H$2,1,-1)))</f>
        <v/>
      </c>
      <c r="L192" s="17" t="str">
        <f>IFERROR(INDEX('Reference Data'!$D$2:$D$6,MATCH($M192,'Reference Data'!$E$2:$E$6,0)),"")</f>
        <v/>
      </c>
      <c r="M192" s="21" t="str">
        <f>IF($G192="","",MEDIAN('Reference Data'!$H$1,'Reference Data'!$H$2,$G192+3*IF($G192='Reference Data'!$H$2,1,-1)))</f>
        <v/>
      </c>
      <c r="N192" s="18" t="str">
        <f>IFERROR(INDEX('Reference Data'!$D$2:$D$6,MATCH($O192,'Reference Data'!$E$2:$E$6,0)),"")</f>
        <v/>
      </c>
      <c r="O192" s="22" t="str">
        <f>IF($G192="","",MEDIAN('Reference Data'!$H$1,'Reference Data'!$H$2,$G192+4*IF($G192='Reference Data'!$H$2,1,-1)))</f>
        <v/>
      </c>
      <c r="P192" s="15"/>
      <c r="Q192" s="18"/>
      <c r="R192" s="20"/>
      <c r="S192" s="39" t="str">
        <f>IF($D192="","",IF($D192='Reference Data'!$A$11,"",IFERROR(IF(VLOOKUP($D192,'Reference Data'!$A$9:$C$11,3,FALSE)="",1,VLOOKUP($D192,'Reference Data'!$A$9:$C$11,3,FALSE)),1)))</f>
        <v/>
      </c>
      <c r="T192" s="40" t="str">
        <f>IF($D192="","",IFERROR(VLOOKUP($D192,'Reference Data'!$A$9:$B$11,2,FALSE),""))</f>
        <v/>
      </c>
      <c r="U192" s="15"/>
    </row>
    <row r="193" spans="1:21" ht="22.05" customHeight="1" x14ac:dyDescent="0.4">
      <c r="A193" s="43"/>
      <c r="B193" s="46"/>
      <c r="C193" s="12"/>
      <c r="D193" s="13"/>
      <c r="E193" s="14"/>
      <c r="F193" s="15" t="str">
        <f>IFERROR(INDEX('Reference Data'!$D$2:$D$6,MATCH($G193,'Reference Data'!$E$2:$E$6,0)),"")</f>
        <v/>
      </c>
      <c r="G193" s="21" t="str">
        <f>IF($D193="Scale",'Reference Data'!$H$2,"")</f>
        <v/>
      </c>
      <c r="H193" s="17" t="str">
        <f>IFERROR(INDEX('Reference Data'!$D$2:$D$6,MATCH($I193,'Reference Data'!$E$2:$E$6,0)),"")</f>
        <v/>
      </c>
      <c r="I193" s="21" t="str">
        <f>IF($G193="","",MEDIAN('Reference Data'!$H$1,'Reference Data'!$H$2,$G193+1*IF($G193='Reference Data'!$H$2,1,-1)))</f>
        <v/>
      </c>
      <c r="J193" s="17" t="str">
        <f>IFERROR(INDEX('Reference Data'!$D$2:$D$6,MATCH($K193,'Reference Data'!$E$2:$E$6,0)),"")</f>
        <v/>
      </c>
      <c r="K193" s="21" t="str">
        <f>IF($G193="","",MEDIAN('Reference Data'!$H$1,'Reference Data'!$H$2,$G193+2*IF($G193='Reference Data'!$H$2,1,-1)))</f>
        <v/>
      </c>
      <c r="L193" s="17" t="str">
        <f>IFERROR(INDEX('Reference Data'!$D$2:$D$6,MATCH($M193,'Reference Data'!$E$2:$E$6,0)),"")</f>
        <v/>
      </c>
      <c r="M193" s="21" t="str">
        <f>IF($G193="","",MEDIAN('Reference Data'!$H$1,'Reference Data'!$H$2,$G193+3*IF($G193='Reference Data'!$H$2,1,-1)))</f>
        <v/>
      </c>
      <c r="N193" s="18" t="str">
        <f>IFERROR(INDEX('Reference Data'!$D$2:$D$6,MATCH($O193,'Reference Data'!$E$2:$E$6,0)),"")</f>
        <v/>
      </c>
      <c r="O193" s="22" t="str">
        <f>IF($G193="","",MEDIAN('Reference Data'!$H$1,'Reference Data'!$H$2,$G193+4*IF($G193='Reference Data'!$H$2,1,-1)))</f>
        <v/>
      </c>
      <c r="P193" s="15"/>
      <c r="Q193" s="18"/>
      <c r="R193" s="20"/>
      <c r="S193" s="39" t="str">
        <f>IF($D193="","",IF($D193='Reference Data'!$A$11,"",IFERROR(IF(VLOOKUP($D193,'Reference Data'!$A$9:$C$11,3,FALSE)="",1,VLOOKUP($D193,'Reference Data'!$A$9:$C$11,3,FALSE)),1)))</f>
        <v/>
      </c>
      <c r="T193" s="40" t="str">
        <f>IF($D193="","",IFERROR(VLOOKUP($D193,'Reference Data'!$A$9:$B$11,2,FALSE),""))</f>
        <v/>
      </c>
      <c r="U193" s="15"/>
    </row>
    <row r="194" spans="1:21" ht="22.05" customHeight="1" x14ac:dyDescent="0.4">
      <c r="A194" s="43"/>
      <c r="B194" s="46"/>
      <c r="C194" s="12"/>
      <c r="D194" s="13"/>
      <c r="E194" s="14"/>
      <c r="F194" s="15" t="str">
        <f>IFERROR(INDEX('Reference Data'!$D$2:$D$6,MATCH($G194,'Reference Data'!$E$2:$E$6,0)),"")</f>
        <v/>
      </c>
      <c r="G194" s="21" t="str">
        <f>IF($D194="Scale",'Reference Data'!$H$2,"")</f>
        <v/>
      </c>
      <c r="H194" s="17" t="str">
        <f>IFERROR(INDEX('Reference Data'!$D$2:$D$6,MATCH($I194,'Reference Data'!$E$2:$E$6,0)),"")</f>
        <v/>
      </c>
      <c r="I194" s="21" t="str">
        <f>IF($G194="","",MEDIAN('Reference Data'!$H$1,'Reference Data'!$H$2,$G194+1*IF($G194='Reference Data'!$H$2,1,-1)))</f>
        <v/>
      </c>
      <c r="J194" s="17" t="str">
        <f>IFERROR(INDEX('Reference Data'!$D$2:$D$6,MATCH($K194,'Reference Data'!$E$2:$E$6,0)),"")</f>
        <v/>
      </c>
      <c r="K194" s="21" t="str">
        <f>IF($G194="","",MEDIAN('Reference Data'!$H$1,'Reference Data'!$H$2,$G194+2*IF($G194='Reference Data'!$H$2,1,-1)))</f>
        <v/>
      </c>
      <c r="L194" s="17" t="str">
        <f>IFERROR(INDEX('Reference Data'!$D$2:$D$6,MATCH($M194,'Reference Data'!$E$2:$E$6,0)),"")</f>
        <v/>
      </c>
      <c r="M194" s="21" t="str">
        <f>IF($G194="","",MEDIAN('Reference Data'!$H$1,'Reference Data'!$H$2,$G194+3*IF($G194='Reference Data'!$H$2,1,-1)))</f>
        <v/>
      </c>
      <c r="N194" s="18" t="str">
        <f>IFERROR(INDEX('Reference Data'!$D$2:$D$6,MATCH($O194,'Reference Data'!$E$2:$E$6,0)),"")</f>
        <v/>
      </c>
      <c r="O194" s="22" t="str">
        <f>IF($G194="","",MEDIAN('Reference Data'!$H$1,'Reference Data'!$H$2,$G194+4*IF($G194='Reference Data'!$H$2,1,-1)))</f>
        <v/>
      </c>
      <c r="P194" s="15"/>
      <c r="Q194" s="18"/>
      <c r="R194" s="20"/>
      <c r="S194" s="39" t="str">
        <f>IF($D194="","",IF($D194='Reference Data'!$A$11,"",IFERROR(IF(VLOOKUP($D194,'Reference Data'!$A$9:$C$11,3,FALSE)="",1,VLOOKUP($D194,'Reference Data'!$A$9:$C$11,3,FALSE)),1)))</f>
        <v/>
      </c>
      <c r="T194" s="40" t="str">
        <f>IF($D194="","",IFERROR(VLOOKUP($D194,'Reference Data'!$A$9:$B$11,2,FALSE),""))</f>
        <v/>
      </c>
      <c r="U194" s="15"/>
    </row>
    <row r="195" spans="1:21" ht="22.05" customHeight="1" x14ac:dyDescent="0.4">
      <c r="A195" s="43"/>
      <c r="B195" s="46"/>
      <c r="C195" s="12"/>
      <c r="D195" s="13"/>
      <c r="E195" s="14"/>
      <c r="F195" s="15" t="str">
        <f>IFERROR(INDEX('Reference Data'!$D$2:$D$6,MATCH($G195,'Reference Data'!$E$2:$E$6,0)),"")</f>
        <v/>
      </c>
      <c r="G195" s="21" t="str">
        <f>IF($D195="Scale",'Reference Data'!$H$2,"")</f>
        <v/>
      </c>
      <c r="H195" s="17" t="str">
        <f>IFERROR(INDEX('Reference Data'!$D$2:$D$6,MATCH($I195,'Reference Data'!$E$2:$E$6,0)),"")</f>
        <v/>
      </c>
      <c r="I195" s="21" t="str">
        <f>IF($G195="","",MEDIAN('Reference Data'!$H$1,'Reference Data'!$H$2,$G195+1*IF($G195='Reference Data'!$H$2,1,-1)))</f>
        <v/>
      </c>
      <c r="J195" s="17" t="str">
        <f>IFERROR(INDEX('Reference Data'!$D$2:$D$6,MATCH($K195,'Reference Data'!$E$2:$E$6,0)),"")</f>
        <v/>
      </c>
      <c r="K195" s="21" t="str">
        <f>IF($G195="","",MEDIAN('Reference Data'!$H$1,'Reference Data'!$H$2,$G195+2*IF($G195='Reference Data'!$H$2,1,-1)))</f>
        <v/>
      </c>
      <c r="L195" s="17" t="str">
        <f>IFERROR(INDEX('Reference Data'!$D$2:$D$6,MATCH($M195,'Reference Data'!$E$2:$E$6,0)),"")</f>
        <v/>
      </c>
      <c r="M195" s="21" t="str">
        <f>IF($G195="","",MEDIAN('Reference Data'!$H$1,'Reference Data'!$H$2,$G195+3*IF($G195='Reference Data'!$H$2,1,-1)))</f>
        <v/>
      </c>
      <c r="N195" s="18" t="str">
        <f>IFERROR(INDEX('Reference Data'!$D$2:$D$6,MATCH($O195,'Reference Data'!$E$2:$E$6,0)),"")</f>
        <v/>
      </c>
      <c r="O195" s="22" t="str">
        <f>IF($G195="","",MEDIAN('Reference Data'!$H$1,'Reference Data'!$H$2,$G195+4*IF($G195='Reference Data'!$H$2,1,-1)))</f>
        <v/>
      </c>
      <c r="P195" s="15"/>
      <c r="Q195" s="18"/>
      <c r="R195" s="20"/>
      <c r="S195" s="39" t="str">
        <f>IF($D195="","",IF($D195='Reference Data'!$A$11,"",IFERROR(IF(VLOOKUP($D195,'Reference Data'!$A$9:$C$11,3,FALSE)="",1,VLOOKUP($D195,'Reference Data'!$A$9:$C$11,3,FALSE)),1)))</f>
        <v/>
      </c>
      <c r="T195" s="40" t="str">
        <f>IF($D195="","",IFERROR(VLOOKUP($D195,'Reference Data'!$A$9:$B$11,2,FALSE),""))</f>
        <v/>
      </c>
      <c r="U195" s="15"/>
    </row>
    <row r="196" spans="1:21" ht="22.05" customHeight="1" x14ac:dyDescent="0.4">
      <c r="A196" s="43"/>
      <c r="B196" s="46"/>
      <c r="C196" s="12"/>
      <c r="D196" s="13"/>
      <c r="E196" s="14"/>
      <c r="F196" s="15" t="str">
        <f>IFERROR(INDEX('Reference Data'!$D$2:$D$6,MATCH($G196,'Reference Data'!$E$2:$E$6,0)),"")</f>
        <v/>
      </c>
      <c r="G196" s="21" t="str">
        <f>IF($D196="Scale",'Reference Data'!$H$2,"")</f>
        <v/>
      </c>
      <c r="H196" s="17" t="str">
        <f>IFERROR(INDEX('Reference Data'!$D$2:$D$6,MATCH($I196,'Reference Data'!$E$2:$E$6,0)),"")</f>
        <v/>
      </c>
      <c r="I196" s="21" t="str">
        <f>IF($G196="","",MEDIAN('Reference Data'!$H$1,'Reference Data'!$H$2,$G196+1*IF($G196='Reference Data'!$H$2,1,-1)))</f>
        <v/>
      </c>
      <c r="J196" s="17" t="str">
        <f>IFERROR(INDEX('Reference Data'!$D$2:$D$6,MATCH($K196,'Reference Data'!$E$2:$E$6,0)),"")</f>
        <v/>
      </c>
      <c r="K196" s="21" t="str">
        <f>IF($G196="","",MEDIAN('Reference Data'!$H$1,'Reference Data'!$H$2,$G196+2*IF($G196='Reference Data'!$H$2,1,-1)))</f>
        <v/>
      </c>
      <c r="L196" s="17" t="str">
        <f>IFERROR(INDEX('Reference Data'!$D$2:$D$6,MATCH($M196,'Reference Data'!$E$2:$E$6,0)),"")</f>
        <v/>
      </c>
      <c r="M196" s="21" t="str">
        <f>IF($G196="","",MEDIAN('Reference Data'!$H$1,'Reference Data'!$H$2,$G196+3*IF($G196='Reference Data'!$H$2,1,-1)))</f>
        <v/>
      </c>
      <c r="N196" s="18" t="str">
        <f>IFERROR(INDEX('Reference Data'!$D$2:$D$6,MATCH($O196,'Reference Data'!$E$2:$E$6,0)),"")</f>
        <v/>
      </c>
      <c r="O196" s="22" t="str">
        <f>IF($G196="","",MEDIAN('Reference Data'!$H$1,'Reference Data'!$H$2,$G196+4*IF($G196='Reference Data'!$H$2,1,-1)))</f>
        <v/>
      </c>
      <c r="P196" s="15"/>
      <c r="Q196" s="18"/>
      <c r="R196" s="20"/>
      <c r="S196" s="39" t="str">
        <f>IF($D196="","",IF($D196='Reference Data'!$A$11,"",IFERROR(IF(VLOOKUP($D196,'Reference Data'!$A$9:$C$11,3,FALSE)="",1,VLOOKUP($D196,'Reference Data'!$A$9:$C$11,3,FALSE)),1)))</f>
        <v/>
      </c>
      <c r="T196" s="40" t="str">
        <f>IF($D196="","",IFERROR(VLOOKUP($D196,'Reference Data'!$A$9:$B$11,2,FALSE),""))</f>
        <v/>
      </c>
      <c r="U196" s="15"/>
    </row>
    <row r="197" spans="1:21" ht="22.05" customHeight="1" x14ac:dyDescent="0.4">
      <c r="A197" s="43"/>
      <c r="B197" s="46"/>
      <c r="C197" s="12"/>
      <c r="D197" s="13"/>
      <c r="E197" s="14"/>
      <c r="F197" s="15" t="str">
        <f>IFERROR(INDEX('Reference Data'!$D$2:$D$6,MATCH($G197,'Reference Data'!$E$2:$E$6,0)),"")</f>
        <v/>
      </c>
      <c r="G197" s="21" t="str">
        <f>IF($D197="Scale",'Reference Data'!$H$2,"")</f>
        <v/>
      </c>
      <c r="H197" s="17" t="str">
        <f>IFERROR(INDEX('Reference Data'!$D$2:$D$6,MATCH($I197,'Reference Data'!$E$2:$E$6,0)),"")</f>
        <v/>
      </c>
      <c r="I197" s="21" t="str">
        <f>IF($G197="","",MEDIAN('Reference Data'!$H$1,'Reference Data'!$H$2,$G197+1*IF($G197='Reference Data'!$H$2,1,-1)))</f>
        <v/>
      </c>
      <c r="J197" s="17" t="str">
        <f>IFERROR(INDEX('Reference Data'!$D$2:$D$6,MATCH($K197,'Reference Data'!$E$2:$E$6,0)),"")</f>
        <v/>
      </c>
      <c r="K197" s="21" t="str">
        <f>IF($G197="","",MEDIAN('Reference Data'!$H$1,'Reference Data'!$H$2,$G197+2*IF($G197='Reference Data'!$H$2,1,-1)))</f>
        <v/>
      </c>
      <c r="L197" s="17" t="str">
        <f>IFERROR(INDEX('Reference Data'!$D$2:$D$6,MATCH($M197,'Reference Data'!$E$2:$E$6,0)),"")</f>
        <v/>
      </c>
      <c r="M197" s="21" t="str">
        <f>IF($G197="","",MEDIAN('Reference Data'!$H$1,'Reference Data'!$H$2,$G197+3*IF($G197='Reference Data'!$H$2,1,-1)))</f>
        <v/>
      </c>
      <c r="N197" s="18" t="str">
        <f>IFERROR(INDEX('Reference Data'!$D$2:$D$6,MATCH($O197,'Reference Data'!$E$2:$E$6,0)),"")</f>
        <v/>
      </c>
      <c r="O197" s="22" t="str">
        <f>IF($G197="","",MEDIAN('Reference Data'!$H$1,'Reference Data'!$H$2,$G197+4*IF($G197='Reference Data'!$H$2,1,-1)))</f>
        <v/>
      </c>
      <c r="P197" s="15"/>
      <c r="Q197" s="18"/>
      <c r="R197" s="20"/>
      <c r="S197" s="39" t="str">
        <f>IF($D197="","",IF($D197='Reference Data'!$A$11,"",IFERROR(IF(VLOOKUP($D197,'Reference Data'!$A$9:$C$11,3,FALSE)="",1,VLOOKUP($D197,'Reference Data'!$A$9:$C$11,3,FALSE)),1)))</f>
        <v/>
      </c>
      <c r="T197" s="40" t="str">
        <f>IF($D197="","",IFERROR(VLOOKUP($D197,'Reference Data'!$A$9:$B$11,2,FALSE),""))</f>
        <v/>
      </c>
      <c r="U197" s="15"/>
    </row>
    <row r="198" spans="1:21" ht="22.05" customHeight="1" x14ac:dyDescent="0.4">
      <c r="A198" s="43"/>
      <c r="B198" s="46"/>
      <c r="C198" s="12"/>
      <c r="D198" s="13"/>
      <c r="E198" s="14"/>
      <c r="F198" s="15" t="str">
        <f>IFERROR(INDEX('Reference Data'!$D$2:$D$6,MATCH($G198,'Reference Data'!$E$2:$E$6,0)),"")</f>
        <v/>
      </c>
      <c r="G198" s="21" t="str">
        <f>IF($D198="Scale",'Reference Data'!$H$2,"")</f>
        <v/>
      </c>
      <c r="H198" s="17" t="str">
        <f>IFERROR(INDEX('Reference Data'!$D$2:$D$6,MATCH($I198,'Reference Data'!$E$2:$E$6,0)),"")</f>
        <v/>
      </c>
      <c r="I198" s="21" t="str">
        <f>IF($G198="","",MEDIAN('Reference Data'!$H$1,'Reference Data'!$H$2,$G198+1*IF($G198='Reference Data'!$H$2,1,-1)))</f>
        <v/>
      </c>
      <c r="J198" s="17" t="str">
        <f>IFERROR(INDEX('Reference Data'!$D$2:$D$6,MATCH($K198,'Reference Data'!$E$2:$E$6,0)),"")</f>
        <v/>
      </c>
      <c r="K198" s="21" t="str">
        <f>IF($G198="","",MEDIAN('Reference Data'!$H$1,'Reference Data'!$H$2,$G198+2*IF($G198='Reference Data'!$H$2,1,-1)))</f>
        <v/>
      </c>
      <c r="L198" s="17" t="str">
        <f>IFERROR(INDEX('Reference Data'!$D$2:$D$6,MATCH($M198,'Reference Data'!$E$2:$E$6,0)),"")</f>
        <v/>
      </c>
      <c r="M198" s="21" t="str">
        <f>IF($G198="","",MEDIAN('Reference Data'!$H$1,'Reference Data'!$H$2,$G198+3*IF($G198='Reference Data'!$H$2,1,-1)))</f>
        <v/>
      </c>
      <c r="N198" s="18" t="str">
        <f>IFERROR(INDEX('Reference Data'!$D$2:$D$6,MATCH($O198,'Reference Data'!$E$2:$E$6,0)),"")</f>
        <v/>
      </c>
      <c r="O198" s="22" t="str">
        <f>IF($G198="","",MEDIAN('Reference Data'!$H$1,'Reference Data'!$H$2,$G198+4*IF($G198='Reference Data'!$H$2,1,-1)))</f>
        <v/>
      </c>
      <c r="P198" s="15"/>
      <c r="Q198" s="18"/>
      <c r="R198" s="20"/>
      <c r="S198" s="39" t="str">
        <f>IF($D198="","",IF($D198='Reference Data'!$A$11,"",IFERROR(IF(VLOOKUP($D198,'Reference Data'!$A$9:$C$11,3,FALSE)="",1,VLOOKUP($D198,'Reference Data'!$A$9:$C$11,3,FALSE)),1)))</f>
        <v/>
      </c>
      <c r="T198" s="40" t="str">
        <f>IF($D198="","",IFERROR(VLOOKUP($D198,'Reference Data'!$A$9:$B$11,2,FALSE),""))</f>
        <v/>
      </c>
      <c r="U198" s="15"/>
    </row>
    <row r="199" spans="1:21" ht="22.05" customHeight="1" x14ac:dyDescent="0.4">
      <c r="A199" s="43"/>
      <c r="B199" s="46"/>
      <c r="C199" s="12"/>
      <c r="D199" s="13"/>
      <c r="E199" s="14"/>
      <c r="F199" s="15" t="str">
        <f>IFERROR(INDEX('Reference Data'!$D$2:$D$6,MATCH($G199,'Reference Data'!$E$2:$E$6,0)),"")</f>
        <v/>
      </c>
      <c r="G199" s="21" t="str">
        <f>IF($D199="Scale",'Reference Data'!$H$2,"")</f>
        <v/>
      </c>
      <c r="H199" s="17" t="str">
        <f>IFERROR(INDEX('Reference Data'!$D$2:$D$6,MATCH($I199,'Reference Data'!$E$2:$E$6,0)),"")</f>
        <v/>
      </c>
      <c r="I199" s="21" t="str">
        <f>IF($G199="","",MEDIAN('Reference Data'!$H$1,'Reference Data'!$H$2,$G199+1*IF($G199='Reference Data'!$H$2,1,-1)))</f>
        <v/>
      </c>
      <c r="J199" s="17" t="str">
        <f>IFERROR(INDEX('Reference Data'!$D$2:$D$6,MATCH($K199,'Reference Data'!$E$2:$E$6,0)),"")</f>
        <v/>
      </c>
      <c r="K199" s="21" t="str">
        <f>IF($G199="","",MEDIAN('Reference Data'!$H$1,'Reference Data'!$H$2,$G199+2*IF($G199='Reference Data'!$H$2,1,-1)))</f>
        <v/>
      </c>
      <c r="L199" s="17" t="str">
        <f>IFERROR(INDEX('Reference Data'!$D$2:$D$6,MATCH($M199,'Reference Data'!$E$2:$E$6,0)),"")</f>
        <v/>
      </c>
      <c r="M199" s="21" t="str">
        <f>IF($G199="","",MEDIAN('Reference Data'!$H$1,'Reference Data'!$H$2,$G199+3*IF($G199='Reference Data'!$H$2,1,-1)))</f>
        <v/>
      </c>
      <c r="N199" s="18" t="str">
        <f>IFERROR(INDEX('Reference Data'!$D$2:$D$6,MATCH($O199,'Reference Data'!$E$2:$E$6,0)),"")</f>
        <v/>
      </c>
      <c r="O199" s="22" t="str">
        <f>IF($G199="","",MEDIAN('Reference Data'!$H$1,'Reference Data'!$H$2,$G199+4*IF($G199='Reference Data'!$H$2,1,-1)))</f>
        <v/>
      </c>
      <c r="P199" s="15"/>
      <c r="Q199" s="18"/>
      <c r="R199" s="20"/>
      <c r="S199" s="39" t="str">
        <f>IF($D199="","",IF($D199='Reference Data'!$A$11,"",IFERROR(IF(VLOOKUP($D199,'Reference Data'!$A$9:$C$11,3,FALSE)="",1,VLOOKUP($D199,'Reference Data'!$A$9:$C$11,3,FALSE)),1)))</f>
        <v/>
      </c>
      <c r="T199" s="40" t="str">
        <f>IF($D199="","",IFERROR(VLOOKUP($D199,'Reference Data'!$A$9:$B$11,2,FALSE),""))</f>
        <v/>
      </c>
      <c r="U199" s="15"/>
    </row>
    <row r="200" spans="1:21" ht="22.05" customHeight="1" x14ac:dyDescent="0.4">
      <c r="A200" s="43"/>
      <c r="B200" s="46"/>
      <c r="C200" s="12"/>
      <c r="D200" s="13"/>
      <c r="E200" s="14"/>
      <c r="F200" s="15" t="str">
        <f>IFERROR(INDEX('Reference Data'!$D$2:$D$6,MATCH($G200,'Reference Data'!$E$2:$E$6,0)),"")</f>
        <v/>
      </c>
      <c r="G200" s="21" t="str">
        <f>IF($D200="Scale",'Reference Data'!$H$2,"")</f>
        <v/>
      </c>
      <c r="H200" s="17" t="str">
        <f>IFERROR(INDEX('Reference Data'!$D$2:$D$6,MATCH($I200,'Reference Data'!$E$2:$E$6,0)),"")</f>
        <v/>
      </c>
      <c r="I200" s="21" t="str">
        <f>IF($G200="","",MEDIAN('Reference Data'!$H$1,'Reference Data'!$H$2,$G200+1*IF($G200='Reference Data'!$H$2,1,-1)))</f>
        <v/>
      </c>
      <c r="J200" s="17" t="str">
        <f>IFERROR(INDEX('Reference Data'!$D$2:$D$6,MATCH($K200,'Reference Data'!$E$2:$E$6,0)),"")</f>
        <v/>
      </c>
      <c r="K200" s="21" t="str">
        <f>IF($G200="","",MEDIAN('Reference Data'!$H$1,'Reference Data'!$H$2,$G200+2*IF($G200='Reference Data'!$H$2,1,-1)))</f>
        <v/>
      </c>
      <c r="L200" s="17" t="str">
        <f>IFERROR(INDEX('Reference Data'!$D$2:$D$6,MATCH($M200,'Reference Data'!$E$2:$E$6,0)),"")</f>
        <v/>
      </c>
      <c r="M200" s="21" t="str">
        <f>IF($G200="","",MEDIAN('Reference Data'!$H$1,'Reference Data'!$H$2,$G200+3*IF($G200='Reference Data'!$H$2,1,-1)))</f>
        <v/>
      </c>
      <c r="N200" s="18" t="str">
        <f>IFERROR(INDEX('Reference Data'!$D$2:$D$6,MATCH($O200,'Reference Data'!$E$2:$E$6,0)),"")</f>
        <v/>
      </c>
      <c r="O200" s="22" t="str">
        <f>IF($G200="","",MEDIAN('Reference Data'!$H$1,'Reference Data'!$H$2,$G200+4*IF($G200='Reference Data'!$H$2,1,-1)))</f>
        <v/>
      </c>
      <c r="P200" s="15"/>
      <c r="Q200" s="18"/>
      <c r="R200" s="20"/>
      <c r="S200" s="39" t="str">
        <f>IF($D200="","",IF($D200='Reference Data'!$A$11,"",IFERROR(IF(VLOOKUP($D200,'Reference Data'!$A$9:$C$11,3,FALSE)="",1,VLOOKUP($D200,'Reference Data'!$A$9:$C$11,3,FALSE)),1)))</f>
        <v/>
      </c>
      <c r="T200" s="40" t="str">
        <f>IF($D200="","",IFERROR(VLOOKUP($D200,'Reference Data'!$A$9:$B$11,2,FALSE),""))</f>
        <v/>
      </c>
      <c r="U200" s="15"/>
    </row>
  </sheetData>
  <sheetProtection sheet="1" objects="1" scenarios="1" insertColumns="0" insertRows="0" deleteColumns="0" deleteRows="0"/>
  <mergeCells count="4">
    <mergeCell ref="B1:C1"/>
    <mergeCell ref="D1:E1"/>
    <mergeCell ref="F1:O1"/>
    <mergeCell ref="P1:R1"/>
  </mergeCells>
  <phoneticPr fontId="2" type="noConversion"/>
  <conditionalFormatting sqref="A3:A200">
    <cfRule type="expression" dxfId="10" priority="6">
      <formula>AND(A3&lt;&gt;"",N($AC3)&gt;0)</formula>
    </cfRule>
  </conditionalFormatting>
  <conditionalFormatting sqref="B3:B200">
    <cfRule type="expression" dxfId="9" priority="5">
      <formula>AND($D3&lt;&gt;"",B3="")</formula>
    </cfRule>
  </conditionalFormatting>
  <conditionalFormatting sqref="B3:B200">
    <cfRule type="expression" dxfId="8" priority="7">
      <formula>AND(B3&lt;&gt;"",N($AD3)&gt;0)</formula>
    </cfRule>
  </conditionalFormatting>
  <conditionalFormatting sqref="C3:C200">
    <cfRule type="expression" dxfId="7" priority="8">
      <formula>AND(C3&lt;&gt;"",N($AE3)&gt;0)</formula>
    </cfRule>
  </conditionalFormatting>
  <conditionalFormatting sqref="D3:D200">
    <cfRule type="expression" dxfId="6" priority="4">
      <formula>AND($D3="",COUNTA($A3:$C3)&gt;0)</formula>
    </cfRule>
  </conditionalFormatting>
  <conditionalFormatting sqref="E3:E200">
    <cfRule type="expression" dxfId="5" priority="2">
      <formula>AND($D3&lt;&gt;"",$D3&lt;&gt;"A/B Forced Choice",E3="")</formula>
    </cfRule>
    <cfRule type="expression" dxfId="4" priority="11">
      <formula>$D3="A/B Forced Choice"</formula>
    </cfRule>
  </conditionalFormatting>
  <conditionalFormatting sqref="F3:O5 F6:H10 I6:O14 F12:H14 F15:O200">
    <cfRule type="expression" dxfId="3" priority="1">
      <formula>AND($D3&lt;&gt;"",$D3&lt;&gt;"Scale")</formula>
    </cfRule>
    <cfRule type="expression" dxfId="2" priority="3">
      <formula>AND($D3="Scale",F3="")</formula>
    </cfRule>
  </conditionalFormatting>
  <conditionalFormatting sqref="P3:R200 F11:H11">
    <cfRule type="expression" dxfId="1" priority="9">
      <formula>AND($D3&lt;&gt;"",$D3&lt;&gt;"A/B Forced Choice")</formula>
    </cfRule>
    <cfRule type="expression" dxfId="0" priority="10">
      <formula>AND($D3="A/B Forced Choice",F3="")</formula>
    </cfRule>
  </conditionalFormatting>
  <dataValidations count="15">
    <dataValidation type="list" allowBlank="1" showErrorMessage="1" errorTitle="입력 오류" error="목록에서 점수방향을 선택하세요." sqref="R201:T998" xr:uid="{0416926F-8612-4BF3-91DE-7CCEC9F83617}">
      <formula1>ScoreDirections</formula1>
    </dataValidation>
    <dataValidation type="list" allowBlank="1" showErrorMessage="1" errorTitle="입력 오류" error="목록에서 질문유형을 선택하세요." sqref="D201:D998" xr:uid="{553E1AFA-00B0-40DC-A004-EF38BEAABFB7}">
      <formula1>QuestionTypes</formula1>
    </dataValidation>
    <dataValidation type="list" allowBlank="1" showErrorMessage="1" errorTitle="Invalid question type" error="Choose one of: Scale, A/B Forced Choice, Essay." sqref="D3:D200" xr:uid="{948C65D0-7554-44B7-AE8E-D19751E6959D}">
      <formula1>QuestionTypes</formula1>
    </dataValidation>
    <dataValidation type="list" allowBlank="1" showInputMessage="1" showErrorMessage="1" errorTitle="Invalid score direction" error="Choose A→B(1~6) or A→B(6~1)." sqref="R3:R200" xr:uid="{275C975F-E18C-49DC-8619-1FF950A09363}">
      <formula1>ScoreDirections</formula1>
    </dataValidation>
    <dataValidation type="textLength" allowBlank="1" showInputMessage="1" showErrorMessage="1" errorTitle="Character Limit Exceeded" error="Type can be up to 15 characters. Please shorten your input." sqref="A3:A200" xr:uid="{FDB918C8-C50C-4020-B94A-4074733F638B}">
      <formula1>1</formula1>
      <formula2>15</formula2>
    </dataValidation>
    <dataValidation type="textLength" allowBlank="1" showInputMessage="1" showErrorMessage="1" errorTitle="Character Limit Exceeded" error="Competency Group can be up to 15 characters. Please shorten your input." sqref="B3:B200" xr:uid="{97D26787-522A-45D6-8236-1E22DC5A0FF0}">
      <formula1>1</formula1>
      <formula2>15</formula2>
    </dataValidation>
    <dataValidation type="textLength" allowBlank="1" showInputMessage="1" showErrorMessage="1" errorTitle="Character Limit Exceeded" error="Sub Competency can be up to 15 characters. Please shorten your input." sqref="C3:C200" xr:uid="{BBF11D57-CA35-4511-85A1-DFFD688CCB3F}">
      <formula1>1</formula1>
      <formula2>15</formula2>
    </dataValidation>
    <dataValidation type="textLength" allowBlank="1" showInputMessage="1" showErrorMessage="1" errorTitle="Character Limit Exceeded" error="Question can be up to 300 characters. Please shorten your input." sqref="E3:E200" xr:uid="{BAD00395-5F45-4286-BD71-CE55BDD31904}">
      <formula1>1</formula1>
      <formula2>300</formula2>
    </dataValidation>
    <dataValidation type="textLength" allowBlank="1" showInputMessage="1" showErrorMessage="1" errorTitle="Character Limit Exceeded" error="Option 1 can be up to 30 characters. Please shorten your input." sqref="F3:F200" xr:uid="{91D7432C-2A13-4FFD-B88B-D2CBC4EC2D31}">
      <formula1>1</formula1>
      <formula2>30</formula2>
    </dataValidation>
    <dataValidation type="textLength" allowBlank="1" showInputMessage="1" showErrorMessage="1" errorTitle="Character Limit Exceeded" error="Option 2 can be up to 30 characters. Please shorten your input." sqref="H3:H200" xr:uid="{043B10D7-DB2E-4407-BE00-61A1E93D2316}">
      <formula1>1</formula1>
      <formula2>30</formula2>
    </dataValidation>
    <dataValidation type="textLength" allowBlank="1" showInputMessage="1" showErrorMessage="1" errorTitle="Character Limit Exceeded" error="Option 3 can be up to 30 characters. Please shorten your input." sqref="J3:J200" xr:uid="{2D51623A-99AD-4236-A295-F3E9F3CD7927}">
      <formula1>1</formula1>
      <formula2>30</formula2>
    </dataValidation>
    <dataValidation type="textLength" allowBlank="1" showInputMessage="1" showErrorMessage="1" errorTitle="Character Limit Exceeded" error="Option 4 can be up to 30 characters. Please shorten your input." sqref="L3:L200" xr:uid="{B65BDBA6-AAB5-4E43-98A2-8D4ABB961287}">
      <formula1>1</formula1>
      <formula2>30</formula2>
    </dataValidation>
    <dataValidation type="textLength" allowBlank="1" showInputMessage="1" showErrorMessage="1" errorTitle="Character Limit Exceeded" error="Option 5 can be up to 30 characters. Please shorten your input." sqref="N3:N200" xr:uid="{2B032C45-1D13-45E0-8FEF-0452F1832E85}">
      <formula1>1</formula1>
      <formula2>30</formula2>
    </dataValidation>
    <dataValidation type="textLength" allowBlank="1" showInputMessage="1" showErrorMessage="1" errorTitle="Character Limit Exceeded" error="A Left Text can be up to 150 characters. Please shorten your input." sqref="P3:P200" xr:uid="{59CB1BA0-57AF-4BDD-BB9E-6A19D9C926EE}">
      <formula1>1</formula1>
      <formula2>150</formula2>
    </dataValidation>
    <dataValidation type="textLength" allowBlank="1" showInputMessage="1" showErrorMessage="1" errorTitle="Character Limit Exceeded" error="B Right Text can be up to 150 characters. Please shorten your input." sqref="Q3:Q200" xr:uid="{1097B1D0-5BE0-436D-A31C-40E28ED5B26C}">
      <formula1>1</formula1>
      <formula2>150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whole" allowBlank="1" showInputMessage="1" showErrorMessage="1" errorTitle="Invalid score" error="Scores must be whole numbers from 1 to 5." xr:uid="{EB24C5C0-CB0E-4B5D-B750-B85184A63660}">
          <x14:formula1>
            <xm:f>'Reference Data'!#REF!</xm:f>
          </x14:formula1>
          <x14:formula2>
            <xm:f>'Reference Data'!#REF!</xm:f>
          </x14:formula2>
          <xm:sqref>G12:G200 G3:G10 I3:I200 K3:K200 O3:O200 M3:M200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FF58F-EF21-4A04-88B7-3536BD1FF8B8}">
  <dimension ref="A1:H13"/>
  <sheetViews>
    <sheetView workbookViewId="0">
      <selection activeCell="C1" sqref="C1"/>
    </sheetView>
  </sheetViews>
  <sheetFormatPr defaultRowHeight="17.399999999999999" x14ac:dyDescent="0.4"/>
  <cols>
    <col min="1" max="1" width="21.59765625" bestFit="1" customWidth="1"/>
    <col min="2" max="2" width="20.69921875" bestFit="1" customWidth="1"/>
    <col min="3" max="3" width="12.69921875" bestFit="1" customWidth="1"/>
    <col min="4" max="4" width="22.19921875" bestFit="1" customWidth="1"/>
    <col min="5" max="5" width="14" bestFit="1" customWidth="1"/>
    <col min="7" max="7" width="40.5" bestFit="1" customWidth="1"/>
  </cols>
  <sheetData>
    <row r="1" spans="1:8" x14ac:dyDescent="0.4">
      <c r="A1" t="s">
        <v>15</v>
      </c>
      <c r="B1" t="s">
        <v>22</v>
      </c>
      <c r="C1" s="23">
        <v>1</v>
      </c>
      <c r="D1" s="24" t="s">
        <v>82</v>
      </c>
      <c r="E1" s="24" t="s">
        <v>83</v>
      </c>
      <c r="G1" t="s">
        <v>84</v>
      </c>
      <c r="H1">
        <v>1</v>
      </c>
    </row>
    <row r="2" spans="1:8" x14ac:dyDescent="0.4">
      <c r="A2" t="s">
        <v>21</v>
      </c>
      <c r="B2" t="s">
        <v>76</v>
      </c>
      <c r="C2" s="23">
        <f>$H$2/$H$3</f>
        <v>0.83333333333333337</v>
      </c>
      <c r="D2" t="s">
        <v>16</v>
      </c>
      <c r="E2">
        <v>5</v>
      </c>
      <c r="G2" t="s">
        <v>85</v>
      </c>
      <c r="H2">
        <v>5</v>
      </c>
    </row>
    <row r="3" spans="1:8" x14ac:dyDescent="0.4">
      <c r="A3" t="s">
        <v>23</v>
      </c>
      <c r="C3" s="23"/>
      <c r="D3" t="s">
        <v>17</v>
      </c>
      <c r="E3">
        <v>4</v>
      </c>
      <c r="G3" t="s">
        <v>86</v>
      </c>
      <c r="H3">
        <v>6</v>
      </c>
    </row>
    <row r="4" spans="1:8" x14ac:dyDescent="0.4">
      <c r="D4" t="s">
        <v>18</v>
      </c>
      <c r="E4">
        <v>3</v>
      </c>
    </row>
    <row r="5" spans="1:8" x14ac:dyDescent="0.4">
      <c r="D5" t="s">
        <v>19</v>
      </c>
      <c r="E5">
        <v>2</v>
      </c>
    </row>
    <row r="6" spans="1:8" x14ac:dyDescent="0.4">
      <c r="D6" t="s">
        <v>20</v>
      </c>
      <c r="E6">
        <v>1</v>
      </c>
    </row>
    <row r="8" spans="1:8" x14ac:dyDescent="0.4">
      <c r="A8" s="25" t="s">
        <v>87</v>
      </c>
      <c r="B8" s="25" t="s">
        <v>77</v>
      </c>
      <c r="D8" t="s">
        <v>88</v>
      </c>
    </row>
    <row r="9" spans="1:8" x14ac:dyDescent="0.4">
      <c r="A9" t="str">
        <f>A1</f>
        <v>Scale</v>
      </c>
      <c r="B9" t="s">
        <v>78</v>
      </c>
      <c r="C9">
        <f>C1</f>
        <v>1</v>
      </c>
      <c r="D9" t="s">
        <v>89</v>
      </c>
    </row>
    <row r="10" spans="1:8" x14ac:dyDescent="0.4">
      <c r="A10" t="str">
        <f>A2</f>
        <v>A/B Forced Choice</v>
      </c>
      <c r="B10" t="s">
        <v>79</v>
      </c>
      <c r="C10">
        <f>C2</f>
        <v>0.83333333333333337</v>
      </c>
      <c r="D10" t="s">
        <v>90</v>
      </c>
    </row>
    <row r="11" spans="1:8" x14ac:dyDescent="0.4">
      <c r="A11" t="str">
        <f>A3</f>
        <v>Essay</v>
      </c>
      <c r="B11" t="s">
        <v>80</v>
      </c>
      <c r="C11">
        <f>C3</f>
        <v>0</v>
      </c>
      <c r="D11" t="s">
        <v>91</v>
      </c>
    </row>
    <row r="12" spans="1:8" x14ac:dyDescent="0.4">
      <c r="D12" t="s">
        <v>92</v>
      </c>
    </row>
    <row r="13" spans="1:8" x14ac:dyDescent="0.4">
      <c r="D13" t="s">
        <v>93</v>
      </c>
    </row>
  </sheetData>
  <sheetProtection sheet="1" objects="1" scenarios="1"/>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How to Use</vt:lpstr>
      <vt:lpstr>Assessment Bulk Upload</vt:lpstr>
      <vt:lpstr>Reference Data</vt:lpstr>
      <vt:lpstr>QuestionTypes</vt:lpstr>
      <vt:lpstr>ScoreDirections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강은 이</dc:creator>
  <cp:lastModifiedBy>강은 이</cp:lastModifiedBy>
  <dcterms:created xsi:type="dcterms:W3CDTF">2026-07-30T07:59:32Z</dcterms:created>
  <dcterms:modified xsi:type="dcterms:W3CDTF">2026-09-29T04:37:34Z</dcterms:modified>
</cp:coreProperties>
</file>