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_1989\Downloads\"/>
    </mc:Choice>
  </mc:AlternateContent>
  <xr:revisionPtr revIDLastSave="0" documentId="13_ncr:1_{ADE9B56E-405C-4FE8-BB75-9CC7E63E8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사용법" sheetId="3" r:id="rId1"/>
    <sheet name="진단 일괄 등록" sheetId="1" r:id="rId2"/>
    <sheet name="참조데이터" sheetId="2" state="hidden" r:id="rId3"/>
  </sheets>
  <definedNames>
    <definedName name="LastFilledRow">SUMPRODUCT(MAX(('진단 일괄 등록'!$A$3:$A$200&lt;&gt;"")*ROW('진단 일괄 등록'!$A$3:$A$200)))</definedName>
    <definedName name="QuestionTypes">참조데이터!$A$1:$A$3</definedName>
    <definedName name="ScoreDirections">참조데이터!$B$1:$B$2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이강은</author>
  </authors>
  <commentList>
    <comment ref="C1" authorId="0" shapeId="0" xr:uid="{66106884-1687-4FE4-9183-2ACB7BC97A88}">
      <text>
        <r>
          <rPr>
            <b/>
            <sz val="9"/>
            <color indexed="81"/>
            <rFont val="Tahoma"/>
            <family val="2"/>
          </rPr>
          <t>척도형 가중치 = 1 (기준)</t>
        </r>
      </text>
    </comment>
    <comment ref="C2" authorId="0" shapeId="0" xr:uid="{7B338B1F-F360-4048-A707-855ACE517019}">
      <text>
        <r>
          <rPr>
            <b/>
            <sz val="9"/>
            <color indexed="81"/>
            <rFont val="Tahoma"/>
            <family val="2"/>
          </rPr>
          <t>A/B 강제선택 가중치 = 척도형 최대점(5) ÷ A/B 입력 단위(6). 자동 계산됩니다.</t>
        </r>
      </text>
    </comment>
    <comment ref="C3" authorId="0" shapeId="0" xr:uid="{7879EC1D-365C-4BFE-94FF-5E543432CA3D}">
      <text>
        <r>
          <rPr>
            <b/>
            <sz val="9"/>
            <color indexed="81"/>
            <rFont val="Tahoma"/>
            <family val="2"/>
          </rPr>
          <t>서술형은 가중치 미사용이및로 0입니다.</t>
        </r>
      </text>
    </comment>
    <comment ref="H3" authorId="0" shapeId="0" xr:uid="{9A2F9601-BCB0-472B-9386-1A009A7AB340}">
      <text>
        <r>
          <rPr>
            <b/>
            <sz val="9"/>
            <color indexed="81"/>
            <rFont val="Tahoma"/>
            <family val="2"/>
          </rPr>
          <t>이강은:</t>
        </r>
        <r>
          <rPr>
            <sz val="9"/>
            <color indexed="81"/>
            <rFont val="Tahoma"/>
            <family val="2"/>
          </rPr>
          <t xml:space="preserve">
A/B 강제선택은 6점 생자로 입력되므로, 척도형 5점 기준으로 환산하는 데 사용됩니다.</t>
        </r>
      </text>
    </comment>
    <comment ref="A9" authorId="0" shapeId="0" xr:uid="{B62C8C38-E965-447B-90A0-7AA3E8BA6E78}">
      <text>
        <r>
          <rPr>
            <b/>
            <sz val="9"/>
            <color indexed="81"/>
            <rFont val="Tahoma"/>
            <family val="2"/>
          </rPr>
          <t>이강은:</t>
        </r>
        <r>
          <rPr>
            <sz val="9"/>
            <color indexed="81"/>
            <rFont val="Tahoma"/>
            <family val="2"/>
          </rPr>
          <t xml:space="preserve">
SINGLE_CHOICE("SC") // 척도형</t>
        </r>
      </text>
    </comment>
    <comment ref="A10" authorId="0" shapeId="0" xr:uid="{3F7DDC64-EDE7-407C-A721-6EE7EDE9E87C}">
      <text>
        <r>
          <rPr>
            <b/>
            <sz val="9"/>
            <color indexed="81"/>
            <rFont val="Tahoma"/>
            <family val="2"/>
          </rPr>
          <t>이강은:</t>
        </r>
        <r>
          <rPr>
            <sz val="9"/>
            <color indexed="81"/>
            <rFont val="Tahoma"/>
            <family val="2"/>
          </rPr>
          <t xml:space="preserve">
BIPOLAR("BI") // 바이폴라 (A/B 강제선택)</t>
        </r>
      </text>
    </comment>
    <comment ref="A11" authorId="0" shapeId="0" xr:uid="{94711FAA-B2F0-4DEF-9CC1-2C8CD261AA62}">
      <text>
        <r>
          <rPr>
            <b/>
            <sz val="9"/>
            <color indexed="81"/>
            <rFont val="Tahoma"/>
            <family val="2"/>
          </rPr>
          <t>이강은:</t>
        </r>
        <r>
          <rPr>
            <sz val="9"/>
            <color indexed="81"/>
            <rFont val="Tahoma"/>
            <family val="2"/>
          </rPr>
          <t xml:space="preserve">
LONG_ANSWER("LA") // 주관식(서술형)</t>
        </r>
      </text>
    </comment>
  </commentList>
</comments>
</file>

<file path=xl/sharedStrings.xml><?xml version="1.0" encoding="utf-8"?>
<sst xmlns="http://schemas.openxmlformats.org/spreadsheetml/2006/main" count="136" uniqueCount="107">
  <si>
    <t>기타</t>
  </si>
  <si>
    <t>점수1</t>
  </si>
  <si>
    <t>점수2</t>
  </si>
  <si>
    <t>점수3</t>
  </si>
  <si>
    <t>점수4</t>
  </si>
  <si>
    <t>점수5</t>
  </si>
  <si>
    <t>★ 점수방향</t>
  </si>
  <si>
    <t>비고</t>
  </si>
  <si>
    <t>척도형</t>
  </si>
  <si>
    <t>나는 나의 강점과 약점을 명확히 인식한다.</t>
  </si>
  <si>
    <t>매우 그렇다</t>
  </si>
  <si>
    <t>그렇다</t>
  </si>
  <si>
    <t>보통이다</t>
  </si>
  <si>
    <t>그렇지 않다</t>
  </si>
  <si>
    <t>전혀 그렇지 않다</t>
  </si>
  <si>
    <t/>
  </si>
  <si>
    <t>5점 척도 기본</t>
  </si>
  <si>
    <t>자기관리 수준을 평가하면?</t>
  </si>
  <si>
    <t>매우 우수</t>
  </si>
  <si>
    <t>우수</t>
  </si>
  <si>
    <t>보통</t>
  </si>
  <si>
    <t>부족</t>
  </si>
  <si>
    <t>매우 부족</t>
  </si>
  <si>
    <t>보기 라벨 수정 예시</t>
  </si>
  <si>
    <t>A/B 강제선택</t>
  </si>
  <si>
    <t>원칙을 우선시한다.</t>
  </si>
  <si>
    <t>상황에 맞게 유연하게 대응한다.</t>
  </si>
  <si>
    <t>A→B(1~6점)</t>
  </si>
  <si>
    <t>서술형</t>
  </si>
  <si>
    <t>인상 깊었던 일화가 있다면 적어주세요.</t>
  </si>
  <si>
    <t>A→B(6~1점)</t>
  </si>
  <si>
    <t>기본 보기 라벨</t>
  </si>
  <si>
    <t>기본 점수</t>
  </si>
  <si>
    <t>점수 허용 최소</t>
  </si>
  <si>
    <t>점수 허용 최대</t>
  </si>
  <si>
    <t>① 역량 정보</t>
  </si>
  <si>
    <t>④ 척도형 전용 · 보기와 점수 (점수1만 바꾸면 나머지 자동)</t>
  </si>
  <si>
    <t>⑤ A/B 강제선택 전용</t>
  </si>
  <si>
    <t>진단 문항 일괄 등록 템플릿 · 사용법</t>
  </si>
  <si>
    <t>작성 순서</t>
  </si>
  <si>
    <t>A~C열에 유형명 · 역량군명 · 세부역량명을 입력합니다.</t>
  </si>
  <si>
    <t>유형에 따라 색이 살아나는 영역만 채우면 됩니다. 회색 영역은 입력하지 않습니다.</t>
  </si>
  <si>
    <t>작성 후 노란색·주황색·빨간색이 남아 있지 않은지 확인하고 업로드합니다.</t>
  </si>
  <si>
    <t>색상 안내</t>
  </si>
  <si>
    <t>노란색</t>
  </si>
  <si>
    <t>반드시 입력해야 하는데 비어 있는 칸입니다.</t>
  </si>
  <si>
    <t>빨간색</t>
  </si>
  <si>
    <t>회색</t>
  </si>
  <si>
    <t>F~O열(보기1~5 내용과 점수)을 사용합니다. P~R열은 비웁니다.</t>
  </si>
  <si>
    <t>점수1에 5를 넣으면 4·3·2·1이, 1을 넣으면 2·3·4·5가 자동으로 채워지고 보기 문구도 함께 맞춰집니다.</t>
  </si>
  <si>
    <t>보기 문구를 직접 바꾸고 싶으면 해당 칸에 그대로 덮어써서 입력하면 됩니다.</t>
  </si>
  <si>
    <t>A~E열만 입력하고 F~R열은 모두 비웁니다.</t>
  </si>
  <si>
    <t>주의사항</t>
  </si>
  <si>
    <t>·</t>
  </si>
  <si>
    <t>점수는 1~5 정수만 입력할 수 있습니다. 그 밖의 값은 입력이 차단됩니다.</t>
  </si>
  <si>
    <t>점수방향</t>
  </si>
  <si>
    <t>A/B 강제선택은 6점 체계입니다. A→B(1~6점) 또는 A→B(6~1점) 중에서 선택하며, 척도형의 1~5점 제한과는 무관합니다.</t>
  </si>
  <si>
    <t>이 시트는 실수로 수식이 지워지지 않도록 보호되어 있습니다. 입력 영역(A~S열)은 자유롭게 작성·행 추가·삭제·정렬이 가능하며, 헤더와 U~W열만 잠겨 있습니다.</t>
  </si>
  <si>
    <t>자기인식</t>
    <phoneticPr fontId="1" type="noConversion"/>
  </si>
  <si>
    <t>A/B 강제선택 입력 단위(최대점)</t>
  </si>
  <si>
    <t>점수 가중치(미입력 시 1)</t>
  </si>
  <si>
    <t>⑥ 가중치</t>
  </si>
  <si>
    <t>리더십 진단</t>
    <phoneticPr fontId="1" type="noConversion"/>
  </si>
  <si>
    <t>자기관리</t>
    <phoneticPr fontId="1" type="noConversion"/>
  </si>
  <si>
    <t>의사결정</t>
    <phoneticPr fontId="1" type="noConversion"/>
  </si>
  <si>
    <t>성찰</t>
    <phoneticPr fontId="1" type="noConversion"/>
  </si>
  <si>
    <t>문항유형 코드</t>
  </si>
  <si>
    <t>SC</t>
  </si>
  <si>
    <t>BI</t>
  </si>
  <si>
    <t>LA</t>
  </si>
  <si>
    <t>문항유형명</t>
  </si>
  <si>
    <t>⑦ 코드</t>
  </si>
  <si>
    <t>문항유형코드</t>
  </si>
  <si>
    <t>A</t>
    <phoneticPr fontId="1" type="noConversion"/>
  </si>
  <si>
    <t>A에 가깝다</t>
    <phoneticPr fontId="1" type="noConversion"/>
  </si>
  <si>
    <t>A에 좀 더 가깝다</t>
    <phoneticPr fontId="1" type="noConversion"/>
  </si>
  <si>
    <t>B에 좀 더 가깝다</t>
    <phoneticPr fontId="1" type="noConversion"/>
  </si>
  <si>
    <t>B에 가깝다</t>
    <phoneticPr fontId="1" type="noConversion"/>
  </si>
  <si>
    <t>B</t>
    <phoneticPr fontId="1" type="noConversion"/>
  </si>
  <si>
    <t>★ 유형명 (최대 15자)</t>
  </si>
  <si>
    <t>★ 역량군명 (최대 15자)</t>
  </si>
  <si>
    <t>★ 세부역량명 (최대 15자)</t>
  </si>
  <si>
    <t>보기1 내용 (최대 30자)</t>
  </si>
  <si>
    <t>보기2 내용 (최대 30자)</t>
  </si>
  <si>
    <t>보기3 내용 (최대 30자)</t>
  </si>
  <si>
    <t>보기4 내용 (최대 30자)</t>
  </si>
  <si>
    <t>보기5 내용 (최대 30자)</t>
  </si>
  <si>
    <t>③ 문항 (A/B 강제선택은 문항내용 비움)</t>
  </si>
  <si>
    <t>★ 문항유형</t>
  </si>
  <si>
    <t>A/B 강제선택 (문항내용은 비움)</t>
  </si>
  <si>
    <t>D열에서 문항유형을 목록에서 선택합니다. (척도형 / A/B 강제선택 / 서술형)</t>
  </si>
  <si>
    <t>E열 문항내용은 척도형·서술형에서만 입력합니다. A/B 강제선택은 P·Q열 문구가 곧 선택지이므로 E열을 비워 둡니다.</t>
  </si>
  <si>
    <t>문항유형을 선택하지 않았거나, 점수가 1~5 범위를 벗어난 칸입니다.</t>
  </si>
  <si>
    <t>선택한 문항유형에서는 입력이 필요 없는 칸입니다.</t>
  </si>
  <si>
    <t>문항유형별 입력 영역</t>
  </si>
  <si>
    <t>P~R열(A 좌측 문구 · B 우측 문구 · 점수방향)을 사용합니다. E열 문항내용과 F~O열은 비웁니다.</t>
  </si>
  <si>
    <t>문항내용 (A/B 강제선택은 비움, 최대 300자)</t>
    <phoneticPr fontId="1" type="noConversion"/>
  </si>
  <si>
    <t>A 좌측 문구 (최대 150자)</t>
    <phoneticPr fontId="1" type="noConversion"/>
  </si>
  <si>
    <t>B 우측 문구 (최대 150자)</t>
    <phoneticPr fontId="1" type="noConversion"/>
  </si>
  <si>
    <t>[진단 일괄 등록] 시트의 3~6행 예시를 참고합니다.</t>
  </si>
  <si>
    <t xml:space="preserve">유형명 (선택, 최대 15자)</t>
  </si>
  <si>
    <t xml:space="preserve">세부역량명 (선택, 최대 15자)</t>
  </si>
  <si>
    <t xml:space="preserve">① 유형 (탭 노출 · 선택)</t>
  </si>
  <si>
    <t xml:space="preserve">② 역량 정보 (역량군 필수 입력 · 세부역량 선택)</t>
  </si>
  <si>
    <t xml:space="preserve">A~C열에 유형명 · 역량군명 · 세부역량명을 입력합니다. 역량군명(B열)은 필수이며, 유형명(A열)과 세부역량명(C열)은 선택입니다. 사용하지 않는 열은 전체 행을 비워 두세요. (일부 행만 입력하면 오류)</t>
  </si>
  <si>
    <t xml:space="preserve">진단 문항 일괄 등록 템플릿 · 사용법 · 유형·세부역량은 선택</t>
  </si>
  <si>
    <t xml:space="preserve">A열(유형명)은 응답 화면에서 유형별 탭으로 노출됩니다. B열(역량군명)·C열(세부역량명)은 응답 화면의 구분과 결과 리포트(점수 집계, 강점·약점 분석, 추천과정 연결) 생성에 사용됩니다.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</si>
</sst>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b/>
      <sz val="14"/>
      <color rgb="FFFFFFFF"/>
      <name val="맑은 고딕"/>
      <family val="3"/>
      <charset val="129"/>
      <scheme val="minor"/>
    </font>
    <font>
      <b/>
      <sz val="11"/>
      <color rgb="FF1F3864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i/>
      <sz val="11"/>
      <color rgb="FF808080"/>
      <name val="맑은 고딕"/>
      <family val="2"/>
      <scheme val="minor"/>
    </font>
    <font>
      <i/>
      <sz val="10"/>
      <color rgb="FF80808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44546A"/>
      </right>
      <top style="thin">
        <color rgb="FFBFBFBF"/>
      </top>
      <bottom style="thin">
        <color rgb="FFBFBFBF"/>
      </bottom>
      <diagonal/>
    </border>
    <border>
      <left style="medium">
        <color rgb="FF44546A"/>
      </left>
      <right style="medium">
        <color rgb="FF44546A"/>
      </right>
      <top/>
      <bottom/>
      <diagonal/>
    </border>
    <border>
      <left style="medium">
        <color rgb="FF44546A"/>
      </left>
      <right style="medium">
        <color rgb="FF44546A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medium">
        <color rgb="FF44546A"/>
      </right>
      <top/>
      <bottom/>
      <diagonal/>
    </border>
    <border>
      <left style="medium">
        <color rgb="FF44546A"/>
      </left>
      <right/>
      <top/>
      <bottom/>
      <diagonal/>
    </border>
    <border>
      <left style="medium">
        <color rgb="FF44546A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Protection="1">
      <alignment vertical="center"/>
      <protection locked="0"/>
    </xf>
    <xf numFmtId="1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alignment vertical="center"/>
      <protection locked="0"/>
    </xf>
    <xf numFmtId="0" fontId="3" fillId="0" borderId="2" xfId="0" applyFont="1" applyBorder="1" applyProtection="1">
      <alignment vertical="center"/>
      <protection locked="0"/>
    </xf>
    <xf numFmtId="1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2" fontId="10" fillId="7" borderId="7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>
      <alignment vertical="center"/>
    </xf>
    <xf numFmtId="0" fontId="6" fillId="5" borderId="0" xfId="0" applyFont="1" applyFill="1" applyAlignment="1">
      <alignment horizontal="left" vertical="center" indent="1"/>
    </xf>
    <xf numFmtId="0" fontId="7" fillId="6" borderId="0" xfId="0" applyFont="1" applyFill="1" applyAlignment="1">
      <alignment vertical="center" indent="1"/>
    </xf>
    <xf numFmtId="0" fontId="4" fillId="5" borderId="9" applyBorder="1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4" fillId="5" borderId="10" applyBorder="1" xfId="0" applyFont="1" applyFill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3" fillId="0" borderId="11" xfId="0" applyFont="1" applyBorder="1" applyAlignment="1" applyProtection="1">
      <alignment horizontal="left" vertical="center"/>
      <protection locked="0"/>
    </xf>
  </cellXfs>
  <cellStyles count="1">
    <cellStyle name="표준" xfId="0" builtinId="0"/>
  </cellStyles>
  <dxfs count="14">
    <dxf>
      <fill>
        <patternFill patternType="solid">
          <fgColor indexed="64"/>
          <bgColor rgb="FFFFF2CC"/>
        </patternFill>
      </fill>
    </dxf>
    <dxf>
      <font>
        <color rgb="FFBFBFBF"/>
      </font>
      <fill>
        <patternFill patternType="solid">
          <fgColor indexed="64"/>
          <bgColor rgb="FFD9D9D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BFBFBF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74706"/>
      </font>
      <fill>
        <patternFill patternType="solid">
          <fgColor indexed="64"/>
          <bgColor rgb="FFFCD5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826031-AA67-4A6E-9A6C-E3C995FEB0C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580f641-098f-4ba9-8bf9-45446b7722e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5DEF-0D3F-41F5-9EAB-949CE6240FA2}">
  <dimension ref="A1:B26"/>
  <sheetViews>
    <sheetView tabSelected="1" zoomScaleNormal="100" workbookViewId="0">
      <selection activeCell="B5" sqref="B5"/>
    </sheetView>
  </sheetViews>
  <sheetFormatPr defaultRowHeight="17.399999999999999" x14ac:dyDescent="0.4"/>
  <cols>
    <col min="1" max="1" width="20" customWidth="1"/>
    <col min="2" max="2" width="151.09765625" bestFit="1" customWidth="1"/>
  </cols>
  <sheetData>
    <row r="1" spans="1:2" ht="34.049999999999997" customHeight="1" x14ac:dyDescent="0.4">
      <c r="A1" s="40" t="s">
        <v>105</v>
      </c>
      <c r="B1" s="40"/>
    </row>
    <row r="2" spans="1:2" ht="19.95" customHeight="1" x14ac:dyDescent="0.4">
      <c r="A2" s="3"/>
      <c r="B2" s="5"/>
    </row>
    <row r="3" spans="1:2" ht="25.95" customHeight="1" x14ac:dyDescent="0.4">
      <c r="A3" s="41" t="s">
        <v>39</v>
      </c>
      <c r="B3" s="41"/>
    </row>
    <row r="4" spans="1:2" x14ac:dyDescent="0.4">
      <c r="A4" s="4">
        <v>1</v>
      </c>
      <c r="B4" s="6" t="s">
        <v>99</v>
      </c>
    </row>
    <row r="5" spans="1:2" x14ac:dyDescent="0.4">
      <c r="A5" s="4">
        <v>2</v>
      </c>
      <c r="B5" s="5" t="s">
        <v>104</v>
      </c>
    </row>
    <row r="6" spans="1:2" x14ac:dyDescent="0.4">
      <c r="A6" s="4">
        <v>3</v>
      </c>
      <c r="B6" s="5" t="s">
        <v>90</v>
      </c>
    </row>
    <row r="7" spans="1:2" x14ac:dyDescent="0.4">
      <c r="A7" s="4">
        <v>4</v>
      </c>
      <c r="B7" s="5" t="s">
        <v>91</v>
      </c>
    </row>
    <row r="8" spans="1:2" x14ac:dyDescent="0.4">
      <c r="A8" s="4">
        <v>5</v>
      </c>
      <c r="B8" s="5" t="s">
        <v>41</v>
      </c>
    </row>
    <row r="9" spans="1:2" x14ac:dyDescent="0.4">
      <c r="A9" s="4">
        <v>6</v>
      </c>
      <c r="B9" s="5" t="s">
        <v>42</v>
      </c>
    </row>
    <row r="10" spans="1:2" x14ac:dyDescent="0.4">
      <c r="A10" s="4">
        <v>7</v>
      </c>
      <c r="B10" s="5" t="s">
        <v>106</v>
      </c>
    </row>
    <row r="11" spans="1:2" x14ac:dyDescent="0.4">
      <c r="A11" s="41" t="s">
        <v>43</v>
      </c>
      <c r="B11" s="41"/>
    </row>
    <row r="12" spans="1:2" x14ac:dyDescent="0.4">
      <c r="A12" s="7" t="s">
        <v>44</v>
      </c>
      <c r="B12" s="5" t="s">
        <v>45</v>
      </c>
    </row>
    <row r="13" spans="1:2" x14ac:dyDescent="0.4">
      <c r="A13" s="8" t="s">
        <v>46</v>
      </c>
      <c r="B13" s="5" t="s">
        <v>92</v>
      </c>
    </row>
    <row r="14" spans="1:2" x14ac:dyDescent="0.4">
      <c r="A14" s="9" t="s">
        <v>47</v>
      </c>
      <c r="B14" s="5" t="s">
        <v>93</v>
      </c>
    </row>
    <row r="15" spans="1:2" x14ac:dyDescent="0.4">
      <c r="A15" s="3"/>
      <c r="B15" s="5"/>
    </row>
    <row r="16" spans="1:2" x14ac:dyDescent="0.4">
      <c r="A16" s="41" t="s">
        <v>94</v>
      </c>
      <c r="B16" s="41"/>
    </row>
    <row r="17" spans="1:2" x14ac:dyDescent="0.4">
      <c r="A17" s="10" t="s">
        <v>8</v>
      </c>
      <c r="B17" s="5" t="s">
        <v>48</v>
      </c>
    </row>
    <row r="18" spans="1:2" x14ac:dyDescent="0.4">
      <c r="A18" s="3"/>
      <c r="B18" s="5" t="s">
        <v>49</v>
      </c>
    </row>
    <row r="19" spans="1:2" x14ac:dyDescent="0.4">
      <c r="A19" s="3"/>
      <c r="B19" s="5" t="s">
        <v>50</v>
      </c>
    </row>
    <row r="20" spans="1:2" x14ac:dyDescent="0.4">
      <c r="A20" s="10" t="s">
        <v>24</v>
      </c>
      <c r="B20" s="5" t="s">
        <v>95</v>
      </c>
    </row>
    <row r="21" spans="1:2" x14ac:dyDescent="0.4">
      <c r="A21" s="10" t="s">
        <v>28</v>
      </c>
      <c r="B21" s="5" t="s">
        <v>51</v>
      </c>
    </row>
    <row r="22" spans="1:2" x14ac:dyDescent="0.4">
      <c r="A22" s="10" t="s">
        <v>55</v>
      </c>
      <c r="B22" s="5" t="s">
        <v>56</v>
      </c>
    </row>
    <row r="24" spans="1:2" x14ac:dyDescent="0.4">
      <c r="A24" s="41" t="s">
        <v>52</v>
      </c>
      <c r="B24" s="41"/>
    </row>
    <row r="25" spans="1:2" x14ac:dyDescent="0.4">
      <c r="A25" s="4" t="s">
        <v>53</v>
      </c>
      <c r="B25" s="5" t="s">
        <v>54</v>
      </c>
    </row>
    <row r="26" spans="1:2" x14ac:dyDescent="0.4">
      <c r="A26" s="38" t="s">
        <v>57</v>
      </c>
      <c r="B26" s="39"/>
    </row>
  </sheetData>
  <sheetProtection sheet="1" objects="1" scenarios="1"/>
  <mergeCells count="6">
    <mergeCell ref="A26:B26"/>
    <mergeCell ref="A1:B1"/>
    <mergeCell ref="A3:B3"/>
    <mergeCell ref="A11:B11"/>
    <mergeCell ref="A16:B16"/>
    <mergeCell ref="A24:B2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zoomScale="70" zoomScaleNormal="70" workbookViewId="0">
      <pane ySplit="2" topLeftCell="A3" activePane="bottomLeft" state="frozen"/>
      <selection pane="bottomLeft" activeCell="C6" sqref="C6"/>
    </sheetView>
  </sheetViews>
  <sheetFormatPr defaultRowHeight="17.399999999999999" x14ac:dyDescent="0.4"/>
  <cols>
    <col min="1" max="3" width="26" style="11" customWidth="1"/>
    <col min="4" max="4" width="16.69921875" style="11" customWidth="1"/>
    <col min="5" max="5" width="50" style="11" customWidth="1"/>
    <col min="6" max="6" width="20" style="11" customWidth="1"/>
    <col min="7" max="7" width="8.69921875" style="11" customWidth="1"/>
    <col min="8" max="8" width="20" style="11" customWidth="1"/>
    <col min="9" max="9" width="8.69921875" style="11" customWidth="1"/>
    <col min="10" max="10" width="20" style="11" customWidth="1"/>
    <col min="11" max="11" width="8.69921875" style="11" customWidth="1"/>
    <col min="12" max="12" width="20" style="11" customWidth="1"/>
    <col min="13" max="13" width="8.69921875" style="11" customWidth="1"/>
    <col min="14" max="14" width="20" style="11" customWidth="1"/>
    <col min="15" max="15" width="8.69921875" style="11" customWidth="1"/>
    <col min="16" max="17" width="31.69921875" style="11" customWidth="1"/>
    <col min="18" max="18" width="18.296875" style="11" customWidth="1"/>
    <col min="19" max="20" width="21.5" style="11" hidden="1" customWidth="1"/>
    <col min="21" max="21" width="25" style="11" customWidth="1"/>
    <col min="22" max="16384" width="8.796875" style="11"/>
  </cols>
  <sheetData>
    <row r="1" spans="1:21" ht="25.95" customHeight="1" x14ac:dyDescent="0.4">
      <c r="A1" s="42" t="s">
        <v>102</v>
      </c>
      <c r="B1" s="46" t="s">
        <v>103</v>
      </c>
      <c r="C1" s="37"/>
      <c r="D1" s="37" t="s">
        <v>87</v>
      </c>
      <c r="E1" s="37"/>
      <c r="F1" s="37" t="s">
        <v>36</v>
      </c>
      <c r="G1" s="37"/>
      <c r="H1" s="37"/>
      <c r="I1" s="37"/>
      <c r="J1" s="37"/>
      <c r="K1" s="37"/>
      <c r="L1" s="37"/>
      <c r="M1" s="37"/>
      <c r="N1" s="37"/>
      <c r="O1" s="37"/>
      <c r="P1" s="37" t="s">
        <v>37</v>
      </c>
      <c r="Q1" s="37"/>
      <c r="R1" s="37"/>
      <c r="S1" s="26" t="s">
        <v>61</v>
      </c>
      <c r="T1" s="27" t="s">
        <v>71</v>
      </c>
      <c r="U1" s="26" t="s">
        <v>0</v>
      </c>
    </row>
    <row r="2" spans="1:21" ht="24" customHeight="1" x14ac:dyDescent="0.4">
      <c r="A2" s="43" t="s">
        <v>100</v>
      </c>
      <c r="B2" s="47" t="s">
        <v>80</v>
      </c>
      <c r="C2" s="30" t="s">
        <v>101</v>
      </c>
      <c r="D2" s="31" t="s">
        <v>88</v>
      </c>
      <c r="E2" s="30" t="s">
        <v>96</v>
      </c>
      <c r="F2" s="32" t="s">
        <v>82</v>
      </c>
      <c r="G2" s="28" t="s">
        <v>1</v>
      </c>
      <c r="H2" s="28" t="s">
        <v>83</v>
      </c>
      <c r="I2" s="28" t="s">
        <v>2</v>
      </c>
      <c r="J2" s="28" t="s">
        <v>84</v>
      </c>
      <c r="K2" s="28" t="s">
        <v>3</v>
      </c>
      <c r="L2" s="28" t="s">
        <v>85</v>
      </c>
      <c r="M2" s="28" t="s">
        <v>4</v>
      </c>
      <c r="N2" s="29" t="s">
        <v>86</v>
      </c>
      <c r="O2" s="30" t="s">
        <v>5</v>
      </c>
      <c r="P2" s="32" t="s">
        <v>97</v>
      </c>
      <c r="Q2" s="29" t="s">
        <v>98</v>
      </c>
      <c r="R2" s="29" t="s">
        <v>6</v>
      </c>
      <c r="S2" s="33" t="s">
        <v>60</v>
      </c>
      <c r="T2" s="34" t="s">
        <v>72</v>
      </c>
      <c r="U2" s="32" t="s">
        <v>7</v>
      </c>
    </row>
    <row r="3" spans="1:21" ht="22.05" customHeight="1" x14ac:dyDescent="0.4">
      <c r="A3" s="44" t="s">
        <v>62</v>
      </c>
      <c r="B3" s="48" t="s">
        <v>63</v>
      </c>
      <c r="C3" s="14" t="s">
        <v>58</v>
      </c>
      <c r="D3" s="15" t="s">
        <v>8</v>
      </c>
      <c r="E3" s="16" t="s">
        <v>9</v>
      </c>
      <c r="F3" s="17" t="str">
        <f>IFERROR(INDEX(참조데이터!$D$2:$D$6,MATCH($G3,참조데이터!$E$2:$E$6,0)),"")</f>
        <v>매우 그렇다</v>
      </c>
      <c r="G3" s="18">
        <f>IF($D3="척도형",참조데이터!$E$2,"")</f>
        <v>5</v>
      </c>
      <c r="H3" s="19" t="str">
        <f>IFERROR(INDEX(참조데이터!$D$2:$D$6,MATCH($I3,참조데이터!$E$2:$E$6,0)),"")</f>
        <v>그렇다</v>
      </c>
      <c r="I3" s="18">
        <f>IF($G3="","",MEDIAN(참조데이터!$H$1,참조데이터!$H$2,$G3+1*IF($G3=참조데이터!$H$1,1,-1)))</f>
        <v>4</v>
      </c>
      <c r="J3" s="19" t="str">
        <f>IFERROR(INDEX(참조데이터!$D$2:$D$6,MATCH($K3,참조데이터!$E$2:$E$6,0)),"")</f>
        <v>보통이다</v>
      </c>
      <c r="K3" s="18">
        <f>IF($G3="","",MEDIAN(참조데이터!$H$1,참조데이터!$H$2,$G3+2*IF($G3=참조데이터!$H$1,1,-1)))</f>
        <v>3</v>
      </c>
      <c r="L3" s="19" t="str">
        <f>IFERROR(INDEX(참조데이터!$D$2:$D$6,MATCH($M3,참조데이터!$E$2:$E$6,0)),"")</f>
        <v>그렇지 않다</v>
      </c>
      <c r="M3" s="18">
        <f>IF($G3="","",MEDIAN(참조데이터!$H$1,참조데이터!$H$2,$G3+3*IF($G3=참조데이터!$H$1,1,-1)))</f>
        <v>2</v>
      </c>
      <c r="N3" s="20" t="str">
        <f>IFERROR(INDEX(참조데이터!$D$2:$D$6,MATCH($O3,참조데이터!$E$2:$E$6,0)),"")</f>
        <v>전혀 그렇지 않다</v>
      </c>
      <c r="O3" s="21">
        <f>IF($G3="","",MEDIAN(참조데이터!$H$1,참조데이터!$H$2,$G3+4*IF($G3=참조데이터!$H$1,1,-1)))</f>
        <v>1</v>
      </c>
      <c r="P3" s="17" t="s">
        <v>15</v>
      </c>
      <c r="Q3" s="20" t="s">
        <v>15</v>
      </c>
      <c r="R3" s="24" t="s">
        <v>15</v>
      </c>
      <c r="S3" s="35">
        <f>IF($D3="","",IF($D3=참조데이터!$A$3,"",IFERROR(IF(VLOOKUP($D3,참조데이터!$A$1:$C$3,3,FALSE)="",1,VLOOKUP($D3,참조데이터!$A$1:$C$3,3,FALSE)),1)))</f>
        <v>1</v>
      </c>
      <c r="T3" s="36" t="str">
        <f>IF($D3="","",IFERROR(VLOOKUP($D3,참조데이터!$A$9:$B$11,2,FALSE),""))</f>
        <v>SC</v>
      </c>
      <c r="U3" s="17" t="s">
        <v>16</v>
      </c>
    </row>
    <row r="4" spans="1:21" ht="22.05" customHeight="1" x14ac:dyDescent="0.4">
      <c r="A4" s="44" t="s">
        <v>62</v>
      </c>
      <c r="B4" s="48" t="s">
        <v>63</v>
      </c>
      <c r="C4" s="14" t="s">
        <v>58</v>
      </c>
      <c r="D4" s="15" t="s">
        <v>8</v>
      </c>
      <c r="E4" s="16" t="s">
        <v>17</v>
      </c>
      <c r="F4" s="17" t="str">
        <f>IF($D4="척도형","매우 우수","")</f>
        <v>매우 우수</v>
      </c>
      <c r="G4" s="18">
        <f>IF($D4="척도형",참조데이터!$E$2,"")</f>
        <v>5</v>
      </c>
      <c r="H4" s="19" t="str">
        <f>IF($D4="척도형","우수","")</f>
        <v>우수</v>
      </c>
      <c r="I4" s="18">
        <f>IF($G4="","",MEDIAN(참조데이터!$H$1,참조데이터!$H$2,$G4+1*IF($G4=참조데이터!$H$1,1,-1)))</f>
        <v>4</v>
      </c>
      <c r="J4" s="19" t="str">
        <f>IF($D4="척도형","보통","")</f>
        <v>보통</v>
      </c>
      <c r="K4" s="18">
        <f>IF($G4="","",MEDIAN(참조데이터!$H$1,참조데이터!$H$2,$G4+2*IF($G4=참조데이터!$H$1,1,-1)))</f>
        <v>3</v>
      </c>
      <c r="L4" s="19" t="str">
        <f>IF($D4="척도형","부족","")</f>
        <v>부족</v>
      </c>
      <c r="M4" s="18">
        <f>IF($G4="","",MEDIAN(참조데이터!$H$1,참조데이터!$H$2,$G4+3*IF($G4=참조데이터!$H$1,1,-1)))</f>
        <v>2</v>
      </c>
      <c r="N4" s="20" t="str">
        <f>IF($D4="척도형","매우 부족","")</f>
        <v>매우 부족</v>
      </c>
      <c r="O4" s="21">
        <f>IF($G4="","",MEDIAN(참조데이터!$H$1,참조데이터!$H$2,$G4+4*IF($G4=참조데이터!$H$1,1,-1)))</f>
        <v>1</v>
      </c>
      <c r="P4" s="17" t="s">
        <v>15</v>
      </c>
      <c r="Q4" s="20" t="s">
        <v>15</v>
      </c>
      <c r="R4" s="24" t="s">
        <v>15</v>
      </c>
      <c r="S4" s="35">
        <f>IF($D4="","",IF($D4=참조데이터!$A$3,"",IFERROR(IF(VLOOKUP($D4,참조데이터!$A$1:$C$3,3,FALSE)="",1,VLOOKUP($D4,참조데이터!$A$1:$C$3,3,FALSE)),1)))</f>
        <v>1</v>
      </c>
      <c r="T4" s="36" t="str">
        <f>IF($D4="","",IFERROR(VLOOKUP($D4,참조데이터!$A$9:$B$11,2,FALSE),""))</f>
        <v>SC</v>
      </c>
      <c r="U4" s="17" t="s">
        <v>23</v>
      </c>
    </row>
    <row r="5" spans="1:21" ht="22.05" customHeight="1" x14ac:dyDescent="0.4">
      <c r="A5" s="44" t="s">
        <v>62</v>
      </c>
      <c r="B5" s="48" t="s">
        <v>63</v>
      </c>
      <c r="C5" s="14" t="s">
        <v>64</v>
      </c>
      <c r="D5" s="15" t="s">
        <v>24</v>
      </c>
      <c r="E5" s="16"/>
      <c r="F5" s="17" t="str">
        <f>IFERROR(INDEX(참조데이터!$D$2:$D$6,MATCH($G5,참조데이터!$E$2:$E$6,0)),"")</f>
        <v/>
      </c>
      <c r="G5" s="18" t="str">
        <f>IF($D5="척도형",참조데이터!$E$2,"")</f>
        <v/>
      </c>
      <c r="H5" s="19" t="str">
        <f>IFERROR(INDEX(참조데이터!$D$2:$D$6,MATCH($I5,참조데이터!$E$2:$E$6,0)),"")</f>
        <v/>
      </c>
      <c r="I5" s="18" t="str">
        <f>IF($G5="","",MEDIAN(참조데이터!$H$1,참조데이터!$H$2,$G5+1*IF($G5=참조데이터!$H$1,1,-1)))</f>
        <v/>
      </c>
      <c r="J5" s="19" t="str">
        <f>IFERROR(INDEX(참조데이터!$D$2:$D$6,MATCH($K5,참조데이터!$E$2:$E$6,0)),"")</f>
        <v/>
      </c>
      <c r="K5" s="18" t="str">
        <f>IF($G5="","",MEDIAN(참조데이터!$H$1,참조데이터!$H$2,$G5+2*IF($G5=참조데이터!$H$1,1,-1)))</f>
        <v/>
      </c>
      <c r="L5" s="19" t="str">
        <f>IFERROR(INDEX(참조데이터!$D$2:$D$6,MATCH($M5,참조데이터!$E$2:$E$6,0)),"")</f>
        <v/>
      </c>
      <c r="M5" s="18" t="str">
        <f>IF($G5="","",MEDIAN(참조데이터!$H$1,참조데이터!$H$2,$G5+3*IF($G5=참조데이터!$H$1,1,-1)))</f>
        <v/>
      </c>
      <c r="N5" s="20" t="str">
        <f>IFERROR(INDEX(참조데이터!$D$2:$D$6,MATCH($O5,참조데이터!$E$2:$E$6,0)),"")</f>
        <v/>
      </c>
      <c r="O5" s="21" t="str">
        <f>IF($G5="","",MEDIAN(참조데이터!$H$1,참조데이터!$H$2,$G5+4*IF($G5=참조데이터!$H$1,1,-1)))</f>
        <v/>
      </c>
      <c r="P5" s="17" t="str">
        <f>IF($D5="A/B 강제선택","원칙을 우선시한다.","")</f>
        <v>원칙을 우선시한다.</v>
      </c>
      <c r="Q5" s="20" t="str">
        <f>IF($D5="A/B 강제선택","상황에 맞게 유연하게 대응한다.","")</f>
        <v>상황에 맞게 유연하게 대응한다.</v>
      </c>
      <c r="R5" s="24" t="str">
        <f>IF($D5="A/B 강제선택","A→B(1~6점)","")</f>
        <v>A→B(1~6점)</v>
      </c>
      <c r="S5" s="35">
        <f>IF($D5="","",IF($D5=참조데이터!$A$3,"",IFERROR(IF(VLOOKUP($D5,참조데이터!$A$1:$C$3,3,FALSE)="",1,VLOOKUP($D5,참조데이터!$A$1:$C$3,3,FALSE)),1)))</f>
        <v>0.83333333333333337</v>
      </c>
      <c r="T5" s="36" t="str">
        <f>IF($D5="","",IFERROR(VLOOKUP($D5,참조데이터!$A$9:$B$11,2,FALSE),""))</f>
        <v>BI</v>
      </c>
      <c r="U5" s="17" t="s">
        <v>89</v>
      </c>
    </row>
    <row r="6" spans="1:21" ht="22.05" customHeight="1" x14ac:dyDescent="0.4">
      <c r="A6" s="44" t="s">
        <v>62</v>
      </c>
      <c r="B6" s="48" t="s">
        <v>63</v>
      </c>
      <c r="C6" s="14" t="s">
        <v>65</v>
      </c>
      <c r="D6" s="15" t="s">
        <v>28</v>
      </c>
      <c r="E6" s="16" t="s">
        <v>29</v>
      </c>
      <c r="F6" s="17" t="str">
        <f>IFERROR(INDEX(참조데이터!$D$2:$D$6,MATCH($G6,참조데이터!$E$2:$E$6,0)),"")</f>
        <v/>
      </c>
      <c r="G6" s="18" t="str">
        <f>IF($D6="척도형",참조데이터!$E$2,"")</f>
        <v/>
      </c>
      <c r="H6" s="19" t="str">
        <f>IFERROR(INDEX(참조데이터!$D$2:$D$6,MATCH($I6,참조데이터!$E$2:$E$6,0)),"")</f>
        <v/>
      </c>
      <c r="I6" s="18" t="str">
        <f>IF($G6="","",MEDIAN(참조데이터!$H$1,참조데이터!$H$2,$G6+1*IF($G6=참조데이터!$H$1,1,-1)))</f>
        <v/>
      </c>
      <c r="J6" s="19" t="str">
        <f>IFERROR(INDEX(참조데이터!$D$2:$D$6,MATCH($K6,참조데이터!$E$2:$E$6,0)),"")</f>
        <v/>
      </c>
      <c r="K6" s="18" t="str">
        <f>IF($G6="","",MEDIAN(참조데이터!$H$1,참조데이터!$H$2,$G6+2*IF($G6=참조데이터!$H$1,1,-1)))</f>
        <v/>
      </c>
      <c r="L6" s="19" t="str">
        <f>IFERROR(INDEX(참조데이터!$D$2:$D$6,MATCH($M6,참조데이터!$E$2:$E$6,0)),"")</f>
        <v/>
      </c>
      <c r="M6" s="18" t="str">
        <f>IF($G6="","",MEDIAN(참조데이터!$H$1,참조데이터!$H$2,$G6+3*IF($G6=참조데이터!$H$1,1,-1)))</f>
        <v/>
      </c>
      <c r="N6" s="20" t="str">
        <f>IFERROR(INDEX(참조데이터!$D$2:$D$6,MATCH($O6,참조데이터!$E$2:$E$6,0)),"")</f>
        <v/>
      </c>
      <c r="O6" s="21" t="str">
        <f>IF($G6="","",MEDIAN(참조데이터!$H$1,참조데이터!$H$2,$G6+4*IF($G6=참조데이터!$H$1,1,-1)))</f>
        <v/>
      </c>
      <c r="P6" s="17" t="s">
        <v>15</v>
      </c>
      <c r="Q6" s="20" t="s">
        <v>15</v>
      </c>
      <c r="R6" s="24" t="s">
        <v>15</v>
      </c>
      <c r="S6" s="35" t="str">
        <f>IF($D6="","",IF($D6=참조데이터!$A$3,"",IFERROR(IF(VLOOKUP($D6,참조데이터!$A$1:$C$3,3,FALSE)="",1,VLOOKUP($D6,참조데이터!$A$1:$C$3,3,FALSE)),1)))</f>
        <v/>
      </c>
      <c r="T6" s="36" t="str">
        <f>IF($D6="","",IFERROR(VLOOKUP($D6,참조데이터!$A$9:$B$11,2,FALSE),""))</f>
        <v>LA</v>
      </c>
      <c r="U6" s="17" t="s">
        <v>28</v>
      </c>
    </row>
    <row r="7" spans="1:21" ht="22.05" customHeight="1" x14ac:dyDescent="0.4">
      <c r="A7" s="45"/>
      <c r="B7" s="48"/>
      <c r="C7" s="14"/>
      <c r="D7" s="15"/>
      <c r="E7" s="16"/>
      <c r="F7" s="17" t="str">
        <f>IFERROR(INDEX(참조데이터!$D$2:$D$6,MATCH($G7,참조데이터!$E$2:$E$6,0)),"")</f>
        <v/>
      </c>
      <c r="G7" s="18" t="str">
        <f>IF($D7="척도형",참조데이터!$E$2,"")</f>
        <v/>
      </c>
      <c r="H7" s="19" t="str">
        <f>IFERROR(INDEX(참조데이터!$D$2:$D$6,MATCH($I7,참조데이터!$E$2:$E$6,0)),"")</f>
        <v/>
      </c>
      <c r="I7" s="18" t="str">
        <f>IF($G7="","",MEDIAN(참조데이터!$H$1,참조데이터!$H$2,$G7+1*IF($G7=참조데이터!$H$1,1,-1)))</f>
        <v/>
      </c>
      <c r="J7" s="19" t="str">
        <f>IFERROR(INDEX(참조데이터!$D$2:$D$6,MATCH($K7,참조데이터!$E$2:$E$6,0)),"")</f>
        <v/>
      </c>
      <c r="K7" s="18" t="str">
        <f>IF($G7="","",MEDIAN(참조데이터!$H$1,참조데이터!$H$2,$G7+2*IF($G7=참조데이터!$H$1,1,-1)))</f>
        <v/>
      </c>
      <c r="L7" s="19" t="str">
        <f>IFERROR(INDEX(참조데이터!$D$2:$D$6,MATCH($M7,참조데이터!$E$2:$E$6,0)),"")</f>
        <v/>
      </c>
      <c r="M7" s="18" t="str">
        <f>IF($G7="","",MEDIAN(참조데이터!$H$1,참조데이터!$H$2,$G7+3*IF($G7=참조데이터!$H$1,1,-1)))</f>
        <v/>
      </c>
      <c r="N7" s="20" t="str">
        <f>IFERROR(INDEX(참조데이터!$D$2:$D$6,MATCH($O7,참조데이터!$E$2:$E$6,0)),"")</f>
        <v/>
      </c>
      <c r="O7" s="21" t="str">
        <f>IF($G7="","",MEDIAN(참조데이터!$H$1,참조데이터!$H$2,$G7+4*IF($G7=참조데이터!$H$1,1,-1)))</f>
        <v/>
      </c>
      <c r="P7" s="17"/>
      <c r="Q7" s="20"/>
      <c r="R7" s="24"/>
      <c r="S7" s="35" t="str">
        <f>IF($D7="","",IF($D7=참조데이터!$A$3,"",IFERROR(IF(VLOOKUP($D7,참조데이터!$A$1:$C$3,3,FALSE)="",1,VLOOKUP($D7,참조데이터!$A$1:$C$3,3,FALSE)),1)))</f>
        <v/>
      </c>
      <c r="T7" s="36" t="str">
        <f>IF($D7="","",IFERROR(VLOOKUP($D7,참조데이터!$A$9:$B$11,2,FALSE),""))</f>
        <v/>
      </c>
      <c r="U7" s="17"/>
    </row>
    <row r="8" spans="1:21" ht="22.05" customHeight="1" x14ac:dyDescent="0.4">
      <c r="B8" s="48"/>
      <c r="C8" s="14"/>
      <c r="D8" s="15"/>
      <c r="E8" s="16"/>
      <c r="F8" s="17" t="str">
        <f>IFERROR(INDEX(참조데이터!$D$2:$D$6,MATCH($G8,참조데이터!$E$2:$E$6,0)),"")</f>
        <v/>
      </c>
      <c r="G8" s="18" t="str">
        <f>IF($D8="척도형",참조데이터!$E$2,"")</f>
        <v/>
      </c>
      <c r="H8" s="19" t="str">
        <f>IFERROR(INDEX(참조데이터!$D$2:$D$6,MATCH($I8,참조데이터!$E$2:$E$6,0)),"")</f>
        <v/>
      </c>
      <c r="I8" s="18" t="str">
        <f>IF($G8="","",MEDIAN(참조데이터!$H$1,참조데이터!$H$2,$G8+1*IF($G8=참조데이터!$H$1,1,-1)))</f>
        <v/>
      </c>
      <c r="J8" s="19" t="str">
        <f>IFERROR(INDEX(참조데이터!$D$2:$D$6,MATCH($K8,참조데이터!$E$2:$E$6,0)),"")</f>
        <v/>
      </c>
      <c r="K8" s="18" t="str">
        <f>IF($G8="","",MEDIAN(참조데이터!$H$1,참조데이터!$H$2,$G8+2*IF($G8=참조데이터!$H$1,1,-1)))</f>
        <v/>
      </c>
      <c r="L8" s="19" t="str">
        <f>IFERROR(INDEX(참조데이터!$D$2:$D$6,MATCH($M8,참조데이터!$E$2:$E$6,0)),"")</f>
        <v/>
      </c>
      <c r="M8" s="18" t="str">
        <f>IF($G8="","",MEDIAN(참조데이터!$H$1,참조데이터!$H$2,$G8+3*IF($G8=참조데이터!$H$1,1,-1)))</f>
        <v/>
      </c>
      <c r="N8" s="20" t="str">
        <f>IFERROR(INDEX(참조데이터!$D$2:$D$6,MATCH($O8,참조데이터!$E$2:$E$6,0)),"")</f>
        <v/>
      </c>
      <c r="O8" s="21" t="str">
        <f>IF($G8="","",MEDIAN(참조데이터!$H$1,참조데이터!$H$2,$G8+4*IF($G8=참조데이터!$H$1,1,-1)))</f>
        <v/>
      </c>
      <c r="P8" s="17"/>
      <c r="Q8" s="20"/>
      <c r="R8" s="24"/>
      <c r="S8" s="35" t="str">
        <f>IF($D8="","",IF($D8=참조데이터!$A$3,"",IFERROR(IF(VLOOKUP($D8,참조데이터!$A$1:$C$3,3,FALSE)="",1,VLOOKUP($D8,참조데이터!$A$1:$C$3,3,FALSE)),1)))</f>
        <v/>
      </c>
      <c r="T8" s="36" t="str">
        <f>IF($D8="","",IFERROR(VLOOKUP($D8,참조데이터!$A$9:$B$11,2,FALSE),""))</f>
        <v/>
      </c>
      <c r="U8" s="17"/>
    </row>
    <row r="9" spans="1:21" ht="22.05" customHeight="1" x14ac:dyDescent="0.4">
      <c r="A9" s="44"/>
      <c r="B9" s="48"/>
      <c r="C9" s="14"/>
      <c r="D9" s="15"/>
      <c r="E9" s="16"/>
      <c r="F9" s="17" t="str">
        <f>IFERROR(INDEX(참조데이터!$D$2:$D$6,MATCH($G9,참조데이터!$E$2:$E$6,0)),"")</f>
        <v/>
      </c>
      <c r="G9" s="18" t="str">
        <f>IF($D9="척도형",참조데이터!$E$2,"")</f>
        <v/>
      </c>
      <c r="H9" s="19" t="str">
        <f>IFERROR(INDEX(참조데이터!$D$2:$D$6,MATCH($I9,참조데이터!$E$2:$E$6,0)),"")</f>
        <v/>
      </c>
      <c r="I9" s="18" t="str">
        <f>IF($G9="","",MEDIAN(참조데이터!$H$1,참조데이터!$H$2,$G9+1*IF($G9=참조데이터!$H$1,1,-1)))</f>
        <v/>
      </c>
      <c r="J9" s="19" t="str">
        <f>IFERROR(INDEX(참조데이터!$D$2:$D$6,MATCH($K9,참조데이터!$E$2:$E$6,0)),"")</f>
        <v/>
      </c>
      <c r="K9" s="18" t="str">
        <f>IF($G9="","",MEDIAN(참조데이터!$H$1,참조데이터!$H$2,$G9+2*IF($G9=참조데이터!$H$1,1,-1)))</f>
        <v/>
      </c>
      <c r="L9" s="19" t="str">
        <f>IFERROR(INDEX(참조데이터!$D$2:$D$6,MATCH($M9,참조데이터!$E$2:$E$6,0)),"")</f>
        <v/>
      </c>
      <c r="M9" s="18" t="str">
        <f>IF($G9="","",MEDIAN(참조데이터!$H$1,참조데이터!$H$2,$G9+3*IF($G9=참조데이터!$H$1,1,-1)))</f>
        <v/>
      </c>
      <c r="N9" s="20" t="str">
        <f>IFERROR(INDEX(참조데이터!$D$2:$D$6,MATCH($O9,참조데이터!$E$2:$E$6,0)),"")</f>
        <v/>
      </c>
      <c r="O9" s="21" t="str">
        <f>IF($G9="","",MEDIAN(참조데이터!$H$1,참조데이터!$H$2,$G9+4*IF($G9=참조데이터!$H$1,1,-1)))</f>
        <v/>
      </c>
      <c r="P9" s="17"/>
      <c r="Q9" s="20"/>
      <c r="R9" s="24"/>
      <c r="S9" s="35" t="str">
        <f>IF($D9="","",IF($D9=참조데이터!$A$3,"",IFERROR(IF(VLOOKUP($D9,참조데이터!$A$1:$C$3,3,FALSE)="",1,VLOOKUP($D9,참조데이터!$A$1:$C$3,3,FALSE)),1)))</f>
        <v/>
      </c>
      <c r="T9" s="36" t="str">
        <f>IF($D9="","",IFERROR(VLOOKUP($D9,참조데이터!$A$9:$B$11,2,FALSE),""))</f>
        <v/>
      </c>
      <c r="U9" s="17"/>
    </row>
    <row r="10" spans="1:21" ht="22.05" customHeight="1" x14ac:dyDescent="0.4">
      <c r="A10" s="44"/>
      <c r="B10" s="48"/>
      <c r="C10" s="14"/>
      <c r="D10" s="15"/>
      <c r="E10" s="16"/>
      <c r="F10" s="17" t="str">
        <f>IFERROR(INDEX(참조데이터!$D$2:$D$6,MATCH($G10,참조데이터!$E$2:$E$6,0)),"")</f>
        <v/>
      </c>
      <c r="G10" s="18" t="str">
        <f>IF($D10="척도형",참조데이터!$E$2,"")</f>
        <v/>
      </c>
      <c r="H10" s="19" t="str">
        <f>IFERROR(INDEX(참조데이터!$D$2:$D$6,MATCH($I10,참조데이터!$E$2:$E$6,0)),"")</f>
        <v/>
      </c>
      <c r="I10" s="18" t="str">
        <f>IF($G10="","",MEDIAN(참조데이터!$H$1,참조데이터!$H$2,$G10+1*IF($G10=참조데이터!$H$1,1,-1)))</f>
        <v/>
      </c>
      <c r="J10" s="19" t="str">
        <f>IFERROR(INDEX(참조데이터!$D$2:$D$6,MATCH($K10,참조데이터!$E$2:$E$6,0)),"")</f>
        <v/>
      </c>
      <c r="K10" s="18" t="str">
        <f>IF($G10="","",MEDIAN(참조데이터!$H$1,참조데이터!$H$2,$G10+2*IF($G10=참조데이터!$H$1,1,-1)))</f>
        <v/>
      </c>
      <c r="L10" s="19" t="str">
        <f>IFERROR(INDEX(참조데이터!$D$2:$D$6,MATCH($M10,참조데이터!$E$2:$E$6,0)),"")</f>
        <v/>
      </c>
      <c r="M10" s="18" t="str">
        <f>IF($G10="","",MEDIAN(참조데이터!$H$1,참조데이터!$H$2,$G10+3*IF($G10=참조데이터!$H$1,1,-1)))</f>
        <v/>
      </c>
      <c r="N10" s="20" t="str">
        <f>IFERROR(INDEX(참조데이터!$D$2:$D$6,MATCH($O10,참조데이터!$E$2:$E$6,0)),"")</f>
        <v/>
      </c>
      <c r="O10" s="21" t="str">
        <f>IF($G10="","",MEDIAN(참조데이터!$H$1,참조데이터!$H$2,$G10+4*IF($G10=참조데이터!$H$1,1,-1)))</f>
        <v/>
      </c>
      <c r="P10" s="17"/>
      <c r="Q10" s="20"/>
      <c r="R10" s="24"/>
      <c r="S10" s="35" t="str">
        <f>IF($D10="","",IF($D10=참조데이터!$A$3,"",IFERROR(IF(VLOOKUP($D10,참조데이터!$A$1:$C$3,3,FALSE)="",1,VLOOKUP($D10,참조데이터!$A$1:$C$3,3,FALSE)),1)))</f>
        <v/>
      </c>
      <c r="T10" s="36" t="str">
        <f>IF($D10="","",IFERROR(VLOOKUP($D10,참조데이터!$A$9:$B$11,2,FALSE),""))</f>
        <v/>
      </c>
      <c r="U10" s="17"/>
    </row>
    <row r="11" spans="1:21" ht="22.05" customHeight="1" x14ac:dyDescent="0.4">
      <c r="A11" s="44"/>
      <c r="B11" s="48"/>
      <c r="C11" s="14"/>
      <c r="D11" s="15"/>
      <c r="E11" s="16"/>
      <c r="F11" s="17" t="str">
        <f>IFERROR(INDEX(참조데이터!$D$2:$D$6,MATCH($G11,참조데이터!$E$2:$E$6,0)),"")</f>
        <v/>
      </c>
      <c r="G11" s="18" t="str">
        <f>IF($D11="척도형",참조데이터!$E$2,"")</f>
        <v/>
      </c>
      <c r="H11" s="19" t="str">
        <f>IFERROR(INDEX(참조데이터!$D$2:$D$6,MATCH($I11,참조데이터!$E$2:$E$6,0)),"")</f>
        <v/>
      </c>
      <c r="I11" s="18" t="str">
        <f>IF($G11="","",MEDIAN(참조데이터!$H$1,참조데이터!$H$2,$G11+1*IF($G11=참조데이터!$H$1,1,-1)))</f>
        <v/>
      </c>
      <c r="J11" s="19" t="str">
        <f>IFERROR(INDEX(참조데이터!$D$2:$D$6,MATCH($K11,참조데이터!$E$2:$E$6,0)),"")</f>
        <v/>
      </c>
      <c r="K11" s="18" t="str">
        <f>IF($G11="","",MEDIAN(참조데이터!$H$1,참조데이터!$H$2,$G11+2*IF($G11=참조데이터!$H$1,1,-1)))</f>
        <v/>
      </c>
      <c r="L11" s="19" t="str">
        <f>IFERROR(INDEX(참조데이터!$D$2:$D$6,MATCH($M11,참조데이터!$E$2:$E$6,0)),"")</f>
        <v/>
      </c>
      <c r="M11" s="18" t="str">
        <f>IF($G11="","",MEDIAN(참조데이터!$H$1,참조데이터!$H$2,$G11+3*IF($G11=참조데이터!$H$1,1,-1)))</f>
        <v/>
      </c>
      <c r="N11" s="20" t="str">
        <f>IFERROR(INDEX(참조데이터!$D$2:$D$6,MATCH($O11,참조데이터!$E$2:$E$6,0)),"")</f>
        <v/>
      </c>
      <c r="O11" s="21" t="str">
        <f>IF($G11="","",MEDIAN(참조데이터!$H$1,참조데이터!$H$2,$G11+4*IF($G11=참조데이터!$H$1,1,-1)))</f>
        <v/>
      </c>
      <c r="P11" s="17"/>
      <c r="Q11" s="20"/>
      <c r="R11" s="24"/>
      <c r="S11" s="35" t="str">
        <f>IF($D11="","",IF($D11=참조데이터!$A$3,"",IFERROR(IF(VLOOKUP($D11,참조데이터!$A$1:$C$3,3,FALSE)="",1,VLOOKUP($D11,참조데이터!$A$1:$C$3,3,FALSE)),1)))</f>
        <v/>
      </c>
      <c r="T11" s="36" t="str">
        <f>IF($D11="","",IFERROR(VLOOKUP($D11,참조데이터!$A$9:$B$11,2,FALSE),""))</f>
        <v/>
      </c>
      <c r="U11" s="17"/>
    </row>
    <row r="12" spans="1:21" ht="22.05" customHeight="1" x14ac:dyDescent="0.4">
      <c r="A12" s="44"/>
      <c r="B12" s="48"/>
      <c r="C12" s="14"/>
      <c r="D12" s="15"/>
      <c r="E12" s="16"/>
      <c r="F12" s="17" t="str">
        <f>IFERROR(INDEX(참조데이터!$D$2:$D$6,MATCH($G12,참조데이터!$E$2:$E$6,0)),"")</f>
        <v/>
      </c>
      <c r="G12" s="18" t="str">
        <f>IF($D12="척도형",참조데이터!$E$2,"")</f>
        <v/>
      </c>
      <c r="H12" s="19" t="str">
        <f>IFERROR(INDEX(참조데이터!$D$2:$D$6,MATCH($I12,참조데이터!$E$2:$E$6,0)),"")</f>
        <v/>
      </c>
      <c r="I12" s="18" t="str">
        <f>IF($G12="","",MEDIAN(참조데이터!$H$1,참조데이터!$H$2,$G12+1*IF($G12=참조데이터!$H$1,1,-1)))</f>
        <v/>
      </c>
      <c r="J12" s="19" t="str">
        <f>IFERROR(INDEX(참조데이터!$D$2:$D$6,MATCH($K12,참조데이터!$E$2:$E$6,0)),"")</f>
        <v/>
      </c>
      <c r="K12" s="18" t="str">
        <f>IF($G12="","",MEDIAN(참조데이터!$H$1,참조데이터!$H$2,$G12+2*IF($G12=참조데이터!$H$1,1,-1)))</f>
        <v/>
      </c>
      <c r="L12" s="19" t="str">
        <f>IFERROR(INDEX(참조데이터!$D$2:$D$6,MATCH($M12,참조데이터!$E$2:$E$6,0)),"")</f>
        <v/>
      </c>
      <c r="M12" s="18" t="str">
        <f>IF($G12="","",MEDIAN(참조데이터!$H$1,참조데이터!$H$2,$G12+3*IF($G12=참조데이터!$H$1,1,-1)))</f>
        <v/>
      </c>
      <c r="N12" s="20" t="str">
        <f>IFERROR(INDEX(참조데이터!$D$2:$D$6,MATCH($O12,참조데이터!$E$2:$E$6,0)),"")</f>
        <v/>
      </c>
      <c r="O12" s="21" t="str">
        <f>IF($G12="","",MEDIAN(참조데이터!$H$1,참조데이터!$H$2,$G12+4*IF($G12=참조데이터!$H$1,1,-1)))</f>
        <v/>
      </c>
      <c r="P12" s="17"/>
      <c r="Q12" s="20"/>
      <c r="R12" s="24"/>
      <c r="S12" s="35" t="str">
        <f>IF($D12="","",IF($D12=참조데이터!$A$3,"",IFERROR(IF(VLOOKUP($D12,참조데이터!$A$1:$C$3,3,FALSE)="",1,VLOOKUP($D12,참조데이터!$A$1:$C$3,3,FALSE)),1)))</f>
        <v/>
      </c>
      <c r="T12" s="36" t="str">
        <f>IF($D12="","",IFERROR(VLOOKUP($D12,참조데이터!$A$9:$B$11,2,FALSE),""))</f>
        <v/>
      </c>
      <c r="U12" s="17"/>
    </row>
    <row r="13" spans="1:21" ht="22.05" customHeight="1" x14ac:dyDescent="0.4">
      <c r="A13" s="44"/>
      <c r="B13" s="48"/>
      <c r="C13" s="14"/>
      <c r="D13" s="15"/>
      <c r="E13" s="16"/>
      <c r="F13" s="17" t="str">
        <f>IFERROR(INDEX(참조데이터!$D$2:$D$6,MATCH($G13,참조데이터!$E$2:$E$6,0)),"")</f>
        <v/>
      </c>
      <c r="G13" s="18" t="str">
        <f>IF($D13="척도형",참조데이터!$E$2,"")</f>
        <v/>
      </c>
      <c r="H13" s="19" t="str">
        <f>IFERROR(INDEX(참조데이터!$D$2:$D$6,MATCH($I13,참조데이터!$E$2:$E$6,0)),"")</f>
        <v/>
      </c>
      <c r="I13" s="18" t="str">
        <f>IF($G13="","",MEDIAN(참조데이터!$H$1,참조데이터!$H$2,$G13+1*IF($G13=참조데이터!$H$1,1,-1)))</f>
        <v/>
      </c>
      <c r="J13" s="19" t="str">
        <f>IFERROR(INDEX(참조데이터!$D$2:$D$6,MATCH($K13,참조데이터!$E$2:$E$6,0)),"")</f>
        <v/>
      </c>
      <c r="K13" s="18" t="str">
        <f>IF($G13="","",MEDIAN(참조데이터!$H$1,참조데이터!$H$2,$G13+2*IF($G13=참조데이터!$H$1,1,-1)))</f>
        <v/>
      </c>
      <c r="L13" s="19" t="str">
        <f>IFERROR(INDEX(참조데이터!$D$2:$D$6,MATCH($M13,참조데이터!$E$2:$E$6,0)),"")</f>
        <v/>
      </c>
      <c r="M13" s="18" t="str">
        <f>IF($G13="","",MEDIAN(참조데이터!$H$1,참조데이터!$H$2,$G13+3*IF($G13=참조데이터!$H$1,1,-1)))</f>
        <v/>
      </c>
      <c r="N13" s="20" t="str">
        <f>IFERROR(INDEX(참조데이터!$D$2:$D$6,MATCH($O13,참조데이터!$E$2:$E$6,0)),"")</f>
        <v/>
      </c>
      <c r="O13" s="21" t="str">
        <f>IF($G13="","",MEDIAN(참조데이터!$H$1,참조데이터!$H$2,$G13+4*IF($G13=참조데이터!$H$1,1,-1)))</f>
        <v/>
      </c>
      <c r="P13" s="17"/>
      <c r="Q13" s="20"/>
      <c r="R13" s="24"/>
      <c r="S13" s="35" t="str">
        <f>IF($D13="","",IF($D13=참조데이터!$A$3,"",IFERROR(IF(VLOOKUP($D13,참조데이터!$A$1:$C$3,3,FALSE)="",1,VLOOKUP($D13,참조데이터!$A$1:$C$3,3,FALSE)),1)))</f>
        <v/>
      </c>
      <c r="T13" s="36" t="str">
        <f>IF($D13="","",IFERROR(VLOOKUP($D13,참조데이터!$A$9:$B$11,2,FALSE),""))</f>
        <v/>
      </c>
      <c r="U13" s="17"/>
    </row>
    <row r="14" spans="1:21" ht="22.05" customHeight="1" x14ac:dyDescent="0.4">
      <c r="A14" s="44"/>
      <c r="B14" s="48"/>
      <c r="C14" s="14"/>
      <c r="D14" s="15"/>
      <c r="E14" s="16"/>
      <c r="F14" s="17" t="str">
        <f>IFERROR(INDEX(참조데이터!$D$2:$D$6,MATCH($G14,참조데이터!$E$2:$E$6,0)),"")</f>
        <v/>
      </c>
      <c r="G14" s="18" t="str">
        <f>IF($D14="척도형",참조데이터!$E$2,"")</f>
        <v/>
      </c>
      <c r="H14" s="19" t="str">
        <f>IFERROR(INDEX(참조데이터!$D$2:$D$6,MATCH($I14,참조데이터!$E$2:$E$6,0)),"")</f>
        <v/>
      </c>
      <c r="I14" s="18" t="str">
        <f>IF($G14="","",MEDIAN(참조데이터!$H$1,참조데이터!$H$2,$G14+1*IF($G14=참조데이터!$H$1,1,-1)))</f>
        <v/>
      </c>
      <c r="J14" s="19" t="str">
        <f>IFERROR(INDEX(참조데이터!$D$2:$D$6,MATCH($K14,참조데이터!$E$2:$E$6,0)),"")</f>
        <v/>
      </c>
      <c r="K14" s="18" t="str">
        <f>IF($G14="","",MEDIAN(참조데이터!$H$1,참조데이터!$H$2,$G14+2*IF($G14=참조데이터!$H$1,1,-1)))</f>
        <v/>
      </c>
      <c r="L14" s="19" t="str">
        <f>IFERROR(INDEX(참조데이터!$D$2:$D$6,MATCH($M14,참조데이터!$E$2:$E$6,0)),"")</f>
        <v/>
      </c>
      <c r="M14" s="18" t="str">
        <f>IF($G14="","",MEDIAN(참조데이터!$H$1,참조데이터!$H$2,$G14+3*IF($G14=참조데이터!$H$1,1,-1)))</f>
        <v/>
      </c>
      <c r="N14" s="20" t="str">
        <f>IFERROR(INDEX(참조데이터!$D$2:$D$6,MATCH($O14,참조데이터!$E$2:$E$6,0)),"")</f>
        <v/>
      </c>
      <c r="O14" s="21" t="str">
        <f>IF($G14="","",MEDIAN(참조데이터!$H$1,참조데이터!$H$2,$G14+4*IF($G14=참조데이터!$H$1,1,-1)))</f>
        <v/>
      </c>
      <c r="P14" s="17"/>
      <c r="Q14" s="20"/>
      <c r="R14" s="24"/>
      <c r="S14" s="35" t="str">
        <f>IF($D14="","",IF($D14=참조데이터!$A$3,"",IFERROR(IF(VLOOKUP($D14,참조데이터!$A$1:$C$3,3,FALSE)="",1,VLOOKUP($D14,참조데이터!$A$1:$C$3,3,FALSE)),1)))</f>
        <v/>
      </c>
      <c r="T14" s="36" t="str">
        <f>IF($D14="","",IFERROR(VLOOKUP($D14,참조데이터!$A$9:$B$11,2,FALSE),""))</f>
        <v/>
      </c>
      <c r="U14" s="17"/>
    </row>
    <row r="15" spans="1:21" ht="22.05" customHeight="1" x14ac:dyDescent="0.4">
      <c r="A15" s="44"/>
      <c r="B15" s="48"/>
      <c r="C15" s="14"/>
      <c r="D15" s="15"/>
      <c r="E15" s="16"/>
      <c r="F15" s="17" t="str">
        <f>IFERROR(INDEX(참조데이터!$D$2:$D$6,MATCH($G15,참조데이터!$E$2:$E$6,0)),"")</f>
        <v/>
      </c>
      <c r="G15" s="18" t="str">
        <f>IF($D15="척도형",참조데이터!$E$2,"")</f>
        <v/>
      </c>
      <c r="H15" s="19" t="str">
        <f>IFERROR(INDEX(참조데이터!$D$2:$D$6,MATCH($I15,참조데이터!$E$2:$E$6,0)),"")</f>
        <v/>
      </c>
      <c r="I15" s="18" t="str">
        <f>IF($G15="","",MEDIAN(참조데이터!$H$1,참조데이터!$H$2,$G15+1*IF($G15=참조데이터!$H$1,1,-1)))</f>
        <v/>
      </c>
      <c r="J15" s="19" t="str">
        <f>IFERROR(INDEX(참조데이터!$D$2:$D$6,MATCH($K15,참조데이터!$E$2:$E$6,0)),"")</f>
        <v/>
      </c>
      <c r="K15" s="18" t="str">
        <f>IF($G15="","",MEDIAN(참조데이터!$H$1,참조데이터!$H$2,$G15+2*IF($G15=참조데이터!$H$1,1,-1)))</f>
        <v/>
      </c>
      <c r="L15" s="19" t="str">
        <f>IFERROR(INDEX(참조데이터!$D$2:$D$6,MATCH($M15,참조데이터!$E$2:$E$6,0)),"")</f>
        <v/>
      </c>
      <c r="M15" s="18" t="str">
        <f>IF($G15="","",MEDIAN(참조데이터!$H$1,참조데이터!$H$2,$G15+3*IF($G15=참조데이터!$H$1,1,-1)))</f>
        <v/>
      </c>
      <c r="N15" s="20" t="str">
        <f>IFERROR(INDEX(참조데이터!$D$2:$D$6,MATCH($O15,참조데이터!$E$2:$E$6,0)),"")</f>
        <v/>
      </c>
      <c r="O15" s="21" t="str">
        <f>IF($G15="","",MEDIAN(참조데이터!$H$1,참조데이터!$H$2,$G15+4*IF($G15=참조데이터!$H$1,1,-1)))</f>
        <v/>
      </c>
      <c r="P15" s="17"/>
      <c r="Q15" s="20"/>
      <c r="R15" s="24"/>
      <c r="S15" s="35" t="str">
        <f>IF($D15="","",IF($D15=참조데이터!$A$3,"",IFERROR(IF(VLOOKUP($D15,참조데이터!$A$1:$C$3,3,FALSE)="",1,VLOOKUP($D15,참조데이터!$A$1:$C$3,3,FALSE)),1)))</f>
        <v/>
      </c>
      <c r="T15" s="36" t="str">
        <f>IF($D15="","",IFERROR(VLOOKUP($D15,참조데이터!$A$9:$B$11,2,FALSE),""))</f>
        <v/>
      </c>
      <c r="U15" s="17"/>
    </row>
    <row r="16" spans="1:21" ht="22.05" customHeight="1" x14ac:dyDescent="0.4">
      <c r="A16" s="44"/>
      <c r="B16" s="48"/>
      <c r="C16" s="14"/>
      <c r="D16" s="15"/>
      <c r="E16" s="16"/>
      <c r="F16" s="17" t="str">
        <f>IFERROR(INDEX(참조데이터!$D$2:$D$6,MATCH($G16,참조데이터!$E$2:$E$6,0)),"")</f>
        <v/>
      </c>
      <c r="G16" s="18" t="str">
        <f>IF($D16="척도형",참조데이터!$E$2,"")</f>
        <v/>
      </c>
      <c r="H16" s="19" t="str">
        <f>IFERROR(INDEX(참조데이터!$D$2:$D$6,MATCH($I16,참조데이터!$E$2:$E$6,0)),"")</f>
        <v/>
      </c>
      <c r="I16" s="18" t="str">
        <f>IF($G16="","",MEDIAN(참조데이터!$H$1,참조데이터!$H$2,$G16+1*IF($G16=참조데이터!$H$1,1,-1)))</f>
        <v/>
      </c>
      <c r="J16" s="19" t="str">
        <f>IFERROR(INDEX(참조데이터!$D$2:$D$6,MATCH($K16,참조데이터!$E$2:$E$6,0)),"")</f>
        <v/>
      </c>
      <c r="K16" s="18" t="str">
        <f>IF($G16="","",MEDIAN(참조데이터!$H$1,참조데이터!$H$2,$G16+2*IF($G16=참조데이터!$H$1,1,-1)))</f>
        <v/>
      </c>
      <c r="L16" s="19" t="str">
        <f>IFERROR(INDEX(참조데이터!$D$2:$D$6,MATCH($M16,참조데이터!$E$2:$E$6,0)),"")</f>
        <v/>
      </c>
      <c r="M16" s="18" t="str">
        <f>IF($G16="","",MEDIAN(참조데이터!$H$1,참조데이터!$H$2,$G16+3*IF($G16=참조데이터!$H$1,1,-1)))</f>
        <v/>
      </c>
      <c r="N16" s="20" t="str">
        <f>IFERROR(INDEX(참조데이터!$D$2:$D$6,MATCH($O16,참조데이터!$E$2:$E$6,0)),"")</f>
        <v/>
      </c>
      <c r="O16" s="21" t="str">
        <f>IF($G16="","",MEDIAN(참조데이터!$H$1,참조데이터!$H$2,$G16+4*IF($G16=참조데이터!$H$1,1,-1)))</f>
        <v/>
      </c>
      <c r="P16" s="17"/>
      <c r="Q16" s="20"/>
      <c r="R16" s="24"/>
      <c r="S16" s="35" t="str">
        <f>IF($D16="","",IF($D16=참조데이터!$A$3,"",IFERROR(IF(VLOOKUP($D16,참조데이터!$A$1:$C$3,3,FALSE)="",1,VLOOKUP($D16,참조데이터!$A$1:$C$3,3,FALSE)),1)))</f>
        <v/>
      </c>
      <c r="T16" s="36" t="str">
        <f>IF($D16="","",IFERROR(VLOOKUP($D16,참조데이터!$A$9:$B$11,2,FALSE),""))</f>
        <v/>
      </c>
      <c r="U16" s="17"/>
    </row>
    <row r="17" spans="1:21" ht="22.05" customHeight="1" x14ac:dyDescent="0.4">
      <c r="A17" s="44"/>
      <c r="B17" s="48"/>
      <c r="C17" s="14"/>
      <c r="D17" s="15"/>
      <c r="E17" s="16"/>
      <c r="F17" s="17" t="str">
        <f>IFERROR(INDEX(참조데이터!$D$2:$D$6,MATCH($G17,참조데이터!$E$2:$E$6,0)),"")</f>
        <v/>
      </c>
      <c r="G17" s="18" t="str">
        <f>IF($D17="척도형",참조데이터!$E$2,"")</f>
        <v/>
      </c>
      <c r="H17" s="19" t="str">
        <f>IFERROR(INDEX(참조데이터!$D$2:$D$6,MATCH($I17,참조데이터!$E$2:$E$6,0)),"")</f>
        <v/>
      </c>
      <c r="I17" s="18" t="str">
        <f>IF($G17="","",MEDIAN(참조데이터!$H$1,참조데이터!$H$2,$G17+1*IF($G17=참조데이터!$H$1,1,-1)))</f>
        <v/>
      </c>
      <c r="J17" s="19" t="str">
        <f>IFERROR(INDEX(참조데이터!$D$2:$D$6,MATCH($K17,참조데이터!$E$2:$E$6,0)),"")</f>
        <v/>
      </c>
      <c r="K17" s="18" t="str">
        <f>IF($G17="","",MEDIAN(참조데이터!$H$1,참조데이터!$H$2,$G17+2*IF($G17=참조데이터!$H$1,1,-1)))</f>
        <v/>
      </c>
      <c r="L17" s="19" t="str">
        <f>IFERROR(INDEX(참조데이터!$D$2:$D$6,MATCH($M17,참조데이터!$E$2:$E$6,0)),"")</f>
        <v/>
      </c>
      <c r="M17" s="18" t="str">
        <f>IF($G17="","",MEDIAN(참조데이터!$H$1,참조데이터!$H$2,$G17+3*IF($G17=참조데이터!$H$1,1,-1)))</f>
        <v/>
      </c>
      <c r="N17" s="20" t="str">
        <f>IFERROR(INDEX(참조데이터!$D$2:$D$6,MATCH($O17,참조데이터!$E$2:$E$6,0)),"")</f>
        <v/>
      </c>
      <c r="O17" s="21" t="str">
        <f>IF($G17="","",MEDIAN(참조데이터!$H$1,참조데이터!$H$2,$G17+4*IF($G17=참조데이터!$H$1,1,-1)))</f>
        <v/>
      </c>
      <c r="P17" s="17"/>
      <c r="Q17" s="20"/>
      <c r="R17" s="24"/>
      <c r="S17" s="35" t="str">
        <f>IF($D17="","",IF($D17=참조데이터!$A$3,"",IFERROR(IF(VLOOKUP($D17,참조데이터!$A$1:$C$3,3,FALSE)="",1,VLOOKUP($D17,참조데이터!$A$1:$C$3,3,FALSE)),1)))</f>
        <v/>
      </c>
      <c r="T17" s="36" t="str">
        <f>IF($D17="","",IFERROR(VLOOKUP($D17,참조데이터!$A$9:$B$11,2,FALSE),""))</f>
        <v/>
      </c>
      <c r="U17" s="17"/>
    </row>
    <row r="18" spans="1:21" ht="22.05" customHeight="1" x14ac:dyDescent="0.4">
      <c r="A18" s="44"/>
      <c r="B18" s="48"/>
      <c r="C18" s="14"/>
      <c r="D18" s="15"/>
      <c r="E18" s="16"/>
      <c r="F18" s="17" t="str">
        <f>IFERROR(INDEX(참조데이터!$D$2:$D$6,MATCH($G18,참조데이터!$E$2:$E$6,0)),"")</f>
        <v/>
      </c>
      <c r="G18" s="23" t="str">
        <f>IF($D18="척도형",참조데이터!$E$2,"")</f>
        <v/>
      </c>
      <c r="H18" s="19" t="str">
        <f>IFERROR(INDEX(참조데이터!$D$2:$D$6,MATCH($I18,참조데이터!$E$2:$E$6,0)),"")</f>
        <v/>
      </c>
      <c r="I18" s="23" t="str">
        <f>IF($G18="","",MEDIAN(참조데이터!$H$1,참조데이터!$H$2,$G18+1*IF($G18=참조데이터!$H$1,1,-1)))</f>
        <v/>
      </c>
      <c r="J18" s="19" t="str">
        <f>IFERROR(INDEX(참조데이터!$D$2:$D$6,MATCH($K18,참조데이터!$E$2:$E$6,0)),"")</f>
        <v/>
      </c>
      <c r="K18" s="23" t="str">
        <f>IF($G18="","",MEDIAN(참조데이터!$H$1,참조데이터!$H$2,$G18+2*IF($G18=참조데이터!$H$1,1,-1)))</f>
        <v/>
      </c>
      <c r="L18" s="19" t="str">
        <f>IFERROR(INDEX(참조데이터!$D$2:$D$6,MATCH($M18,참조데이터!$E$2:$E$6,0)),"")</f>
        <v/>
      </c>
      <c r="M18" s="23" t="str">
        <f>IF($G18="","",MEDIAN(참조데이터!$H$1,참조데이터!$H$2,$G18+3*IF($G18=참조데이터!$H$1,1,-1)))</f>
        <v/>
      </c>
      <c r="N18" s="20" t="str">
        <f>IFERROR(INDEX(참조데이터!$D$2:$D$6,MATCH($O18,참조데이터!$E$2:$E$6,0)),"")</f>
        <v/>
      </c>
      <c r="O18" s="22" t="str">
        <f>IF($G18="","",MEDIAN(참조데이터!$H$1,참조데이터!$H$2,$G18+4*IF($G18=참조데이터!$H$1,1,-1)))</f>
        <v/>
      </c>
      <c r="P18" s="17"/>
      <c r="Q18" s="20"/>
      <c r="R18" s="24"/>
      <c r="S18" s="35" t="str">
        <f>IF($D18="","",IF($D18=참조데이터!$A$3,"",IFERROR(IF(VLOOKUP($D18,참조데이터!$A$1:$C$3,3,FALSE)="",1,VLOOKUP($D18,참조데이터!$A$1:$C$3,3,FALSE)),1)))</f>
        <v/>
      </c>
      <c r="T18" s="36" t="str">
        <f>IF($D18="","",IFERROR(VLOOKUP($D18,참조데이터!$A$9:$B$11,2,FALSE),""))</f>
        <v/>
      </c>
      <c r="U18" s="17"/>
    </row>
    <row r="19" spans="1:21" ht="22.05" customHeight="1" x14ac:dyDescent="0.4">
      <c r="A19" s="44"/>
      <c r="B19" s="48"/>
      <c r="C19" s="14"/>
      <c r="D19" s="15"/>
      <c r="E19" s="16"/>
      <c r="F19" s="17" t="str">
        <f>IFERROR(INDEX(참조데이터!$D$2:$D$6,MATCH($G19,참조데이터!$E$2:$E$6,0)),"")</f>
        <v/>
      </c>
      <c r="G19" s="23" t="str">
        <f>IF($D19="척도형",참조데이터!$E$2,"")</f>
        <v/>
      </c>
      <c r="H19" s="19" t="str">
        <f>IFERROR(INDEX(참조데이터!$D$2:$D$6,MATCH($I19,참조데이터!$E$2:$E$6,0)),"")</f>
        <v/>
      </c>
      <c r="I19" s="23" t="str">
        <f>IF($G19="","",MEDIAN(참조데이터!$H$1,참조데이터!$H$2,$G19+1*IF($G19=참조데이터!$H$1,1,-1)))</f>
        <v/>
      </c>
      <c r="J19" s="19" t="str">
        <f>IFERROR(INDEX(참조데이터!$D$2:$D$6,MATCH($K19,참조데이터!$E$2:$E$6,0)),"")</f>
        <v/>
      </c>
      <c r="K19" s="23" t="str">
        <f>IF($G19="","",MEDIAN(참조데이터!$H$1,참조데이터!$H$2,$G19+2*IF($G19=참조데이터!$H$1,1,-1)))</f>
        <v/>
      </c>
      <c r="L19" s="19" t="str">
        <f>IFERROR(INDEX(참조데이터!$D$2:$D$6,MATCH($M19,참조데이터!$E$2:$E$6,0)),"")</f>
        <v/>
      </c>
      <c r="M19" s="23" t="str">
        <f>IF($G19="","",MEDIAN(참조데이터!$H$1,참조데이터!$H$2,$G19+3*IF($G19=참조데이터!$H$1,1,-1)))</f>
        <v/>
      </c>
      <c r="N19" s="20" t="str">
        <f>IFERROR(INDEX(참조데이터!$D$2:$D$6,MATCH($O19,참조데이터!$E$2:$E$6,0)),"")</f>
        <v/>
      </c>
      <c r="O19" s="22" t="str">
        <f>IF($G19="","",MEDIAN(참조데이터!$H$1,참조데이터!$H$2,$G19+4*IF($G19=참조데이터!$H$1,1,-1)))</f>
        <v/>
      </c>
      <c r="P19" s="17"/>
      <c r="Q19" s="20"/>
      <c r="R19" s="24"/>
      <c r="S19" s="35" t="str">
        <f>IF($D19="","",IF($D19=참조데이터!$A$3,"",IFERROR(IF(VLOOKUP($D19,참조데이터!$A$1:$C$3,3,FALSE)="",1,VLOOKUP($D19,참조데이터!$A$1:$C$3,3,FALSE)),1)))</f>
        <v/>
      </c>
      <c r="T19" s="36" t="str">
        <f>IF($D19="","",IFERROR(VLOOKUP($D19,참조데이터!$A$9:$B$11,2,FALSE),""))</f>
        <v/>
      </c>
      <c r="U19" s="17"/>
    </row>
    <row r="20" spans="1:21" ht="22.05" customHeight="1" x14ac:dyDescent="0.4">
      <c r="A20" s="44"/>
      <c r="B20" s="48"/>
      <c r="C20" s="14"/>
      <c r="D20" s="15"/>
      <c r="E20" s="16"/>
      <c r="F20" s="17" t="str">
        <f>IFERROR(INDEX(참조데이터!$D$2:$D$6,MATCH($G20,참조데이터!$E$2:$E$6,0)),"")</f>
        <v/>
      </c>
      <c r="G20" s="23" t="str">
        <f>IF($D20="척도형",참조데이터!$E$2,"")</f>
        <v/>
      </c>
      <c r="H20" s="19" t="str">
        <f>IFERROR(INDEX(참조데이터!$D$2:$D$6,MATCH($I20,참조데이터!$E$2:$E$6,0)),"")</f>
        <v/>
      </c>
      <c r="I20" s="23" t="str">
        <f>IF($G20="","",MEDIAN(참조데이터!$H$1,참조데이터!$H$2,$G20+1*IF($G20=참조데이터!$H$1,1,-1)))</f>
        <v/>
      </c>
      <c r="J20" s="19" t="str">
        <f>IFERROR(INDEX(참조데이터!$D$2:$D$6,MATCH($K20,참조데이터!$E$2:$E$6,0)),"")</f>
        <v/>
      </c>
      <c r="K20" s="23" t="str">
        <f>IF($G20="","",MEDIAN(참조데이터!$H$1,참조데이터!$H$2,$G20+2*IF($G20=참조데이터!$H$1,1,-1)))</f>
        <v/>
      </c>
      <c r="L20" s="19" t="str">
        <f>IFERROR(INDEX(참조데이터!$D$2:$D$6,MATCH($M20,참조데이터!$E$2:$E$6,0)),"")</f>
        <v/>
      </c>
      <c r="M20" s="23" t="str">
        <f>IF($G20="","",MEDIAN(참조데이터!$H$1,참조데이터!$H$2,$G20+3*IF($G20=참조데이터!$H$1,1,-1)))</f>
        <v/>
      </c>
      <c r="N20" s="20" t="str">
        <f>IFERROR(INDEX(참조데이터!$D$2:$D$6,MATCH($O20,참조데이터!$E$2:$E$6,0)),"")</f>
        <v/>
      </c>
      <c r="O20" s="22" t="str">
        <f>IF($G20="","",MEDIAN(참조데이터!$H$1,참조데이터!$H$2,$G20+4*IF($G20=참조데이터!$H$1,1,-1)))</f>
        <v/>
      </c>
      <c r="P20" s="17"/>
      <c r="Q20" s="20"/>
      <c r="R20" s="24"/>
      <c r="S20" s="35" t="str">
        <f>IF($D20="","",IF($D20=참조데이터!$A$3,"",IFERROR(IF(VLOOKUP($D20,참조데이터!$A$1:$C$3,3,FALSE)="",1,VLOOKUP($D20,참조데이터!$A$1:$C$3,3,FALSE)),1)))</f>
        <v/>
      </c>
      <c r="T20" s="36" t="str">
        <f>IF($D20="","",IFERROR(VLOOKUP($D20,참조데이터!$A$9:$B$11,2,FALSE),""))</f>
        <v/>
      </c>
      <c r="U20" s="17"/>
    </row>
    <row r="21" spans="1:21" ht="22.05" customHeight="1" x14ac:dyDescent="0.4">
      <c r="A21" s="44"/>
      <c r="B21" s="48"/>
      <c r="C21" s="14"/>
      <c r="D21" s="15"/>
      <c r="E21" s="16"/>
      <c r="F21" s="17" t="str">
        <f>IFERROR(INDEX(참조데이터!$D$2:$D$6,MATCH($G21,참조데이터!$E$2:$E$6,0)),"")</f>
        <v/>
      </c>
      <c r="G21" s="23" t="str">
        <f>IF($D21="척도형",참조데이터!$E$2,"")</f>
        <v/>
      </c>
      <c r="H21" s="19" t="str">
        <f>IFERROR(INDEX(참조데이터!$D$2:$D$6,MATCH($I21,참조데이터!$E$2:$E$6,0)),"")</f>
        <v/>
      </c>
      <c r="I21" s="23" t="str">
        <f>IF($G21="","",MEDIAN(참조데이터!$H$1,참조데이터!$H$2,$G21+1*IF($G21=참조데이터!$H$1,1,-1)))</f>
        <v/>
      </c>
      <c r="J21" s="19" t="str">
        <f>IFERROR(INDEX(참조데이터!$D$2:$D$6,MATCH($K21,참조데이터!$E$2:$E$6,0)),"")</f>
        <v/>
      </c>
      <c r="K21" s="23" t="str">
        <f>IF($G21="","",MEDIAN(참조데이터!$H$1,참조데이터!$H$2,$G21+2*IF($G21=참조데이터!$H$1,1,-1)))</f>
        <v/>
      </c>
      <c r="L21" s="19" t="str">
        <f>IFERROR(INDEX(참조데이터!$D$2:$D$6,MATCH($M21,참조데이터!$E$2:$E$6,0)),"")</f>
        <v/>
      </c>
      <c r="M21" s="23" t="str">
        <f>IF($G21="","",MEDIAN(참조데이터!$H$1,참조데이터!$H$2,$G21+3*IF($G21=참조데이터!$H$1,1,-1)))</f>
        <v/>
      </c>
      <c r="N21" s="20" t="str">
        <f>IFERROR(INDEX(참조데이터!$D$2:$D$6,MATCH($O21,참조데이터!$E$2:$E$6,0)),"")</f>
        <v/>
      </c>
      <c r="O21" s="22" t="str">
        <f>IF($G21="","",MEDIAN(참조데이터!$H$1,참조데이터!$H$2,$G21+4*IF($G21=참조데이터!$H$1,1,-1)))</f>
        <v/>
      </c>
      <c r="P21" s="17"/>
      <c r="Q21" s="20"/>
      <c r="R21" s="24"/>
      <c r="S21" s="35" t="str">
        <f>IF($D21="","",IF($D21=참조데이터!$A$3,"",IFERROR(IF(VLOOKUP($D21,참조데이터!$A$1:$C$3,3,FALSE)="",1,VLOOKUP($D21,참조데이터!$A$1:$C$3,3,FALSE)),1)))</f>
        <v/>
      </c>
      <c r="T21" s="36" t="str">
        <f>IF($D21="","",IFERROR(VLOOKUP($D21,참조데이터!$A$9:$B$11,2,FALSE),""))</f>
        <v/>
      </c>
      <c r="U21" s="17"/>
    </row>
    <row r="22" spans="1:21" ht="22.05" customHeight="1" x14ac:dyDescent="0.4">
      <c r="A22" s="44"/>
      <c r="B22" s="48"/>
      <c r="C22" s="14"/>
      <c r="D22" s="15"/>
      <c r="E22" s="16"/>
      <c r="F22" s="17" t="str">
        <f>IFERROR(INDEX(참조데이터!$D$2:$D$6,MATCH($G22,참조데이터!$E$2:$E$6,0)),"")</f>
        <v/>
      </c>
      <c r="G22" s="23" t="str">
        <f>IF($D22="척도형",참조데이터!$E$2,"")</f>
        <v/>
      </c>
      <c r="H22" s="19" t="str">
        <f>IFERROR(INDEX(참조데이터!$D$2:$D$6,MATCH($I22,참조데이터!$E$2:$E$6,0)),"")</f>
        <v/>
      </c>
      <c r="I22" s="23" t="str">
        <f>IF($G22="","",MEDIAN(참조데이터!$H$1,참조데이터!$H$2,$G22+1*IF($G22=참조데이터!$H$1,1,-1)))</f>
        <v/>
      </c>
      <c r="J22" s="19" t="str">
        <f>IFERROR(INDEX(참조데이터!$D$2:$D$6,MATCH($K22,참조데이터!$E$2:$E$6,0)),"")</f>
        <v/>
      </c>
      <c r="K22" s="23" t="str">
        <f>IF($G22="","",MEDIAN(참조데이터!$H$1,참조데이터!$H$2,$G22+2*IF($G22=참조데이터!$H$1,1,-1)))</f>
        <v/>
      </c>
      <c r="L22" s="19" t="str">
        <f>IFERROR(INDEX(참조데이터!$D$2:$D$6,MATCH($M22,참조데이터!$E$2:$E$6,0)),"")</f>
        <v/>
      </c>
      <c r="M22" s="23" t="str">
        <f>IF($G22="","",MEDIAN(참조데이터!$H$1,참조데이터!$H$2,$G22+3*IF($G22=참조데이터!$H$1,1,-1)))</f>
        <v/>
      </c>
      <c r="N22" s="20" t="str">
        <f>IFERROR(INDEX(참조데이터!$D$2:$D$6,MATCH($O22,참조데이터!$E$2:$E$6,0)),"")</f>
        <v/>
      </c>
      <c r="O22" s="22" t="str">
        <f>IF($G22="","",MEDIAN(참조데이터!$H$1,참조데이터!$H$2,$G22+4*IF($G22=참조데이터!$H$1,1,-1)))</f>
        <v/>
      </c>
      <c r="P22" s="17"/>
      <c r="Q22" s="20"/>
      <c r="R22" s="24"/>
      <c r="S22" s="35" t="str">
        <f>IF($D22="","",IF($D22=참조데이터!$A$3,"",IFERROR(IF(VLOOKUP($D22,참조데이터!$A$1:$C$3,3,FALSE)="",1,VLOOKUP($D22,참조데이터!$A$1:$C$3,3,FALSE)),1)))</f>
        <v/>
      </c>
      <c r="T22" s="36" t="str">
        <f>IF($D22="","",IFERROR(VLOOKUP($D22,참조데이터!$A$9:$B$11,2,FALSE),""))</f>
        <v/>
      </c>
      <c r="U22" s="17"/>
    </row>
    <row r="23" spans="1:21" ht="22.05" customHeight="1" x14ac:dyDescent="0.4">
      <c r="A23" s="44"/>
      <c r="B23" s="48"/>
      <c r="C23" s="14"/>
      <c r="D23" s="15"/>
      <c r="E23" s="16"/>
      <c r="F23" s="17" t="str">
        <f>IFERROR(INDEX(참조데이터!$D$2:$D$6,MATCH($G23,참조데이터!$E$2:$E$6,0)),"")</f>
        <v/>
      </c>
      <c r="G23" s="23" t="str">
        <f>IF($D23="척도형",참조데이터!$E$2,"")</f>
        <v/>
      </c>
      <c r="H23" s="19" t="str">
        <f>IFERROR(INDEX(참조데이터!$D$2:$D$6,MATCH($I23,참조데이터!$E$2:$E$6,0)),"")</f>
        <v/>
      </c>
      <c r="I23" s="23" t="str">
        <f>IF($G23="","",MEDIAN(참조데이터!$H$1,참조데이터!$H$2,$G23+1*IF($G23=참조데이터!$H$1,1,-1)))</f>
        <v/>
      </c>
      <c r="J23" s="19" t="str">
        <f>IFERROR(INDEX(참조데이터!$D$2:$D$6,MATCH($K23,참조데이터!$E$2:$E$6,0)),"")</f>
        <v/>
      </c>
      <c r="K23" s="23" t="str">
        <f>IF($G23="","",MEDIAN(참조데이터!$H$1,참조데이터!$H$2,$G23+2*IF($G23=참조데이터!$H$1,1,-1)))</f>
        <v/>
      </c>
      <c r="L23" s="19" t="str">
        <f>IFERROR(INDEX(참조데이터!$D$2:$D$6,MATCH($M23,참조데이터!$E$2:$E$6,0)),"")</f>
        <v/>
      </c>
      <c r="M23" s="23" t="str">
        <f>IF($G23="","",MEDIAN(참조데이터!$H$1,참조데이터!$H$2,$G23+3*IF($G23=참조데이터!$H$1,1,-1)))</f>
        <v/>
      </c>
      <c r="N23" s="20" t="str">
        <f>IFERROR(INDEX(참조데이터!$D$2:$D$6,MATCH($O23,참조데이터!$E$2:$E$6,0)),"")</f>
        <v/>
      </c>
      <c r="O23" s="22" t="str">
        <f>IF($G23="","",MEDIAN(참조데이터!$H$1,참조데이터!$H$2,$G23+4*IF($G23=참조데이터!$H$1,1,-1)))</f>
        <v/>
      </c>
      <c r="P23" s="17"/>
      <c r="Q23" s="20"/>
      <c r="R23" s="24"/>
      <c r="S23" s="35" t="str">
        <f>IF($D23="","",IF($D23=참조데이터!$A$3,"",IFERROR(IF(VLOOKUP($D23,참조데이터!$A$1:$C$3,3,FALSE)="",1,VLOOKUP($D23,참조데이터!$A$1:$C$3,3,FALSE)),1)))</f>
        <v/>
      </c>
      <c r="T23" s="36" t="str">
        <f>IF($D23="","",IFERROR(VLOOKUP($D23,참조데이터!$A$9:$B$11,2,FALSE),""))</f>
        <v/>
      </c>
      <c r="U23" s="17"/>
    </row>
    <row r="24" spans="1:21" ht="22.05" customHeight="1" x14ac:dyDescent="0.4">
      <c r="A24" s="44"/>
      <c r="B24" s="48"/>
      <c r="C24" s="14"/>
      <c r="D24" s="15"/>
      <c r="E24" s="16"/>
      <c r="F24" s="17" t="str">
        <f>IFERROR(INDEX(참조데이터!$D$2:$D$6,MATCH($G24,참조데이터!$E$2:$E$6,0)),"")</f>
        <v/>
      </c>
      <c r="G24" s="23" t="str">
        <f>IF($D24="척도형",참조데이터!$E$2,"")</f>
        <v/>
      </c>
      <c r="H24" s="19" t="str">
        <f>IFERROR(INDEX(참조데이터!$D$2:$D$6,MATCH($I24,참조데이터!$E$2:$E$6,0)),"")</f>
        <v/>
      </c>
      <c r="I24" s="23" t="str">
        <f>IF($G24="","",MEDIAN(참조데이터!$H$1,참조데이터!$H$2,$G24+1*IF($G24=참조데이터!$H$1,1,-1)))</f>
        <v/>
      </c>
      <c r="J24" s="19" t="str">
        <f>IFERROR(INDEX(참조데이터!$D$2:$D$6,MATCH($K24,참조데이터!$E$2:$E$6,0)),"")</f>
        <v/>
      </c>
      <c r="K24" s="23" t="str">
        <f>IF($G24="","",MEDIAN(참조데이터!$H$1,참조데이터!$H$2,$G24+2*IF($G24=참조데이터!$H$1,1,-1)))</f>
        <v/>
      </c>
      <c r="L24" s="19" t="str">
        <f>IFERROR(INDEX(참조데이터!$D$2:$D$6,MATCH($M24,참조데이터!$E$2:$E$6,0)),"")</f>
        <v/>
      </c>
      <c r="M24" s="23" t="str">
        <f>IF($G24="","",MEDIAN(참조데이터!$H$1,참조데이터!$H$2,$G24+3*IF($G24=참조데이터!$H$1,1,-1)))</f>
        <v/>
      </c>
      <c r="N24" s="20" t="str">
        <f>IFERROR(INDEX(참조데이터!$D$2:$D$6,MATCH($O24,참조데이터!$E$2:$E$6,0)),"")</f>
        <v/>
      </c>
      <c r="O24" s="22" t="str">
        <f>IF($G24="","",MEDIAN(참조데이터!$H$1,참조데이터!$H$2,$G24+4*IF($G24=참조데이터!$H$1,1,-1)))</f>
        <v/>
      </c>
      <c r="P24" s="17"/>
      <c r="Q24" s="20"/>
      <c r="R24" s="24"/>
      <c r="S24" s="35" t="str">
        <f>IF($D24="","",IF($D24=참조데이터!$A$3,"",IFERROR(IF(VLOOKUP($D24,참조데이터!$A$1:$C$3,3,FALSE)="",1,VLOOKUP($D24,참조데이터!$A$1:$C$3,3,FALSE)),1)))</f>
        <v/>
      </c>
      <c r="T24" s="36" t="str">
        <f>IF($D24="","",IFERROR(VLOOKUP($D24,참조데이터!$A$9:$B$11,2,FALSE),""))</f>
        <v/>
      </c>
      <c r="U24" s="17"/>
    </row>
    <row r="25" spans="1:21" ht="22.05" customHeight="1" x14ac:dyDescent="0.4">
      <c r="A25" s="44"/>
      <c r="B25" s="48"/>
      <c r="C25" s="14"/>
      <c r="D25" s="15"/>
      <c r="E25" s="16"/>
      <c r="F25" s="17" t="str">
        <f>IFERROR(INDEX(참조데이터!$D$2:$D$6,MATCH($G25,참조데이터!$E$2:$E$6,0)),"")</f>
        <v/>
      </c>
      <c r="G25" s="23" t="str">
        <f>IF($D25="척도형",참조데이터!$E$2,"")</f>
        <v/>
      </c>
      <c r="H25" s="19" t="str">
        <f>IFERROR(INDEX(참조데이터!$D$2:$D$6,MATCH($I25,참조데이터!$E$2:$E$6,0)),"")</f>
        <v/>
      </c>
      <c r="I25" s="23" t="str">
        <f>IF($G25="","",MEDIAN(참조데이터!$H$1,참조데이터!$H$2,$G25+1*IF($G25=참조데이터!$H$1,1,-1)))</f>
        <v/>
      </c>
      <c r="J25" s="19" t="str">
        <f>IFERROR(INDEX(참조데이터!$D$2:$D$6,MATCH($K25,참조데이터!$E$2:$E$6,0)),"")</f>
        <v/>
      </c>
      <c r="K25" s="23" t="str">
        <f>IF($G25="","",MEDIAN(참조데이터!$H$1,참조데이터!$H$2,$G25+2*IF($G25=참조데이터!$H$1,1,-1)))</f>
        <v/>
      </c>
      <c r="L25" s="19" t="str">
        <f>IFERROR(INDEX(참조데이터!$D$2:$D$6,MATCH($M25,참조데이터!$E$2:$E$6,0)),"")</f>
        <v/>
      </c>
      <c r="M25" s="23" t="str">
        <f>IF($G25="","",MEDIAN(참조데이터!$H$1,참조데이터!$H$2,$G25+3*IF($G25=참조데이터!$H$1,1,-1)))</f>
        <v/>
      </c>
      <c r="N25" s="20" t="str">
        <f>IFERROR(INDEX(참조데이터!$D$2:$D$6,MATCH($O25,참조데이터!$E$2:$E$6,0)),"")</f>
        <v/>
      </c>
      <c r="O25" s="22" t="str">
        <f>IF($G25="","",MEDIAN(참조데이터!$H$1,참조데이터!$H$2,$G25+4*IF($G25=참조데이터!$H$1,1,-1)))</f>
        <v/>
      </c>
      <c r="P25" s="17"/>
      <c r="Q25" s="20"/>
      <c r="R25" s="24"/>
      <c r="S25" s="35" t="str">
        <f>IF($D25="","",IF($D25=참조데이터!$A$3,"",IFERROR(IF(VLOOKUP($D25,참조데이터!$A$1:$C$3,3,FALSE)="",1,VLOOKUP($D25,참조데이터!$A$1:$C$3,3,FALSE)),1)))</f>
        <v/>
      </c>
      <c r="T25" s="36" t="str">
        <f>IF($D25="","",IFERROR(VLOOKUP($D25,참조데이터!$A$9:$B$11,2,FALSE),""))</f>
        <v/>
      </c>
      <c r="U25" s="17"/>
    </row>
    <row r="26" spans="1:21" ht="22.05" customHeight="1" x14ac:dyDescent="0.4">
      <c r="A26" s="44"/>
      <c r="B26" s="48"/>
      <c r="C26" s="14"/>
      <c r="D26" s="15"/>
      <c r="E26" s="16"/>
      <c r="F26" s="17" t="str">
        <f>IFERROR(INDEX(참조데이터!$D$2:$D$6,MATCH($G26,참조데이터!$E$2:$E$6,0)),"")</f>
        <v/>
      </c>
      <c r="G26" s="23" t="str">
        <f>IF($D26="척도형",참조데이터!$E$2,"")</f>
        <v/>
      </c>
      <c r="H26" s="19" t="str">
        <f>IFERROR(INDEX(참조데이터!$D$2:$D$6,MATCH($I26,참조데이터!$E$2:$E$6,0)),"")</f>
        <v/>
      </c>
      <c r="I26" s="23" t="str">
        <f>IF($G26="","",MEDIAN(참조데이터!$H$1,참조데이터!$H$2,$G26+1*IF($G26=참조데이터!$H$1,1,-1)))</f>
        <v/>
      </c>
      <c r="J26" s="19" t="str">
        <f>IFERROR(INDEX(참조데이터!$D$2:$D$6,MATCH($K26,참조데이터!$E$2:$E$6,0)),"")</f>
        <v/>
      </c>
      <c r="K26" s="23" t="str">
        <f>IF($G26="","",MEDIAN(참조데이터!$H$1,참조데이터!$H$2,$G26+2*IF($G26=참조데이터!$H$1,1,-1)))</f>
        <v/>
      </c>
      <c r="L26" s="19" t="str">
        <f>IFERROR(INDEX(참조데이터!$D$2:$D$6,MATCH($M26,참조데이터!$E$2:$E$6,0)),"")</f>
        <v/>
      </c>
      <c r="M26" s="23" t="str">
        <f>IF($G26="","",MEDIAN(참조데이터!$H$1,참조데이터!$H$2,$G26+3*IF($G26=참조데이터!$H$1,1,-1)))</f>
        <v/>
      </c>
      <c r="N26" s="20" t="str">
        <f>IFERROR(INDEX(참조데이터!$D$2:$D$6,MATCH($O26,참조데이터!$E$2:$E$6,0)),"")</f>
        <v/>
      </c>
      <c r="O26" s="22" t="str">
        <f>IF($G26="","",MEDIAN(참조데이터!$H$1,참조데이터!$H$2,$G26+4*IF($G26=참조데이터!$H$1,1,-1)))</f>
        <v/>
      </c>
      <c r="P26" s="17"/>
      <c r="Q26" s="20"/>
      <c r="R26" s="24"/>
      <c r="S26" s="35" t="str">
        <f>IF($D26="","",IF($D26=참조데이터!$A$3,"",IFERROR(IF(VLOOKUP($D26,참조데이터!$A$1:$C$3,3,FALSE)="",1,VLOOKUP($D26,참조데이터!$A$1:$C$3,3,FALSE)),1)))</f>
        <v/>
      </c>
      <c r="T26" s="36" t="str">
        <f>IF($D26="","",IFERROR(VLOOKUP($D26,참조데이터!$A$9:$B$11,2,FALSE),""))</f>
        <v/>
      </c>
      <c r="U26" s="17"/>
    </row>
    <row r="27" spans="1:21" ht="22.05" customHeight="1" x14ac:dyDescent="0.4">
      <c r="A27" s="44"/>
      <c r="B27" s="48"/>
      <c r="C27" s="14"/>
      <c r="D27" s="15"/>
      <c r="E27" s="16"/>
      <c r="F27" s="17" t="str">
        <f>IFERROR(INDEX(참조데이터!$D$2:$D$6,MATCH($G27,참조데이터!$E$2:$E$6,0)),"")</f>
        <v/>
      </c>
      <c r="G27" s="23" t="str">
        <f>IF($D27="척도형",참조데이터!$E$2,"")</f>
        <v/>
      </c>
      <c r="H27" s="19" t="str">
        <f>IFERROR(INDEX(참조데이터!$D$2:$D$6,MATCH($I27,참조데이터!$E$2:$E$6,0)),"")</f>
        <v/>
      </c>
      <c r="I27" s="23" t="str">
        <f>IF($G27="","",MEDIAN(참조데이터!$H$1,참조데이터!$H$2,$G27+1*IF($G27=참조데이터!$H$1,1,-1)))</f>
        <v/>
      </c>
      <c r="J27" s="19" t="str">
        <f>IFERROR(INDEX(참조데이터!$D$2:$D$6,MATCH($K27,참조데이터!$E$2:$E$6,0)),"")</f>
        <v/>
      </c>
      <c r="K27" s="23" t="str">
        <f>IF($G27="","",MEDIAN(참조데이터!$H$1,참조데이터!$H$2,$G27+2*IF($G27=참조데이터!$H$1,1,-1)))</f>
        <v/>
      </c>
      <c r="L27" s="19" t="str">
        <f>IFERROR(INDEX(참조데이터!$D$2:$D$6,MATCH($M27,참조데이터!$E$2:$E$6,0)),"")</f>
        <v/>
      </c>
      <c r="M27" s="23" t="str">
        <f>IF($G27="","",MEDIAN(참조데이터!$H$1,참조데이터!$H$2,$G27+3*IF($G27=참조데이터!$H$1,1,-1)))</f>
        <v/>
      </c>
      <c r="N27" s="20" t="str">
        <f>IFERROR(INDEX(참조데이터!$D$2:$D$6,MATCH($O27,참조데이터!$E$2:$E$6,0)),"")</f>
        <v/>
      </c>
      <c r="O27" s="22" t="str">
        <f>IF($G27="","",MEDIAN(참조데이터!$H$1,참조데이터!$H$2,$G27+4*IF($G27=참조데이터!$H$1,1,-1)))</f>
        <v/>
      </c>
      <c r="P27" s="17"/>
      <c r="Q27" s="20"/>
      <c r="R27" s="24"/>
      <c r="S27" s="35" t="str">
        <f>IF($D27="","",IF($D27=참조데이터!$A$3,"",IFERROR(IF(VLOOKUP($D27,참조데이터!$A$1:$C$3,3,FALSE)="",1,VLOOKUP($D27,참조데이터!$A$1:$C$3,3,FALSE)),1)))</f>
        <v/>
      </c>
      <c r="T27" s="36" t="str">
        <f>IF($D27="","",IFERROR(VLOOKUP($D27,참조데이터!$A$9:$B$11,2,FALSE),""))</f>
        <v/>
      </c>
      <c r="U27" s="17"/>
    </row>
    <row r="28" spans="1:21" ht="22.05" customHeight="1" x14ac:dyDescent="0.4">
      <c r="A28" s="44"/>
      <c r="B28" s="48"/>
      <c r="C28" s="14"/>
      <c r="D28" s="15"/>
      <c r="E28" s="16"/>
      <c r="F28" s="17" t="str">
        <f>IFERROR(INDEX(참조데이터!$D$2:$D$6,MATCH($G28,참조데이터!$E$2:$E$6,0)),"")</f>
        <v/>
      </c>
      <c r="G28" s="23" t="str">
        <f>IF($D28="척도형",참조데이터!$E$2,"")</f>
        <v/>
      </c>
      <c r="H28" s="19" t="str">
        <f>IFERROR(INDEX(참조데이터!$D$2:$D$6,MATCH($I28,참조데이터!$E$2:$E$6,0)),"")</f>
        <v/>
      </c>
      <c r="I28" s="23" t="str">
        <f>IF($G28="","",MEDIAN(참조데이터!$H$1,참조데이터!$H$2,$G28+1*IF($G28=참조데이터!$H$1,1,-1)))</f>
        <v/>
      </c>
      <c r="J28" s="19" t="str">
        <f>IFERROR(INDEX(참조데이터!$D$2:$D$6,MATCH($K28,참조데이터!$E$2:$E$6,0)),"")</f>
        <v/>
      </c>
      <c r="K28" s="23" t="str">
        <f>IF($G28="","",MEDIAN(참조데이터!$H$1,참조데이터!$H$2,$G28+2*IF($G28=참조데이터!$H$1,1,-1)))</f>
        <v/>
      </c>
      <c r="L28" s="19" t="str">
        <f>IFERROR(INDEX(참조데이터!$D$2:$D$6,MATCH($M28,참조데이터!$E$2:$E$6,0)),"")</f>
        <v/>
      </c>
      <c r="M28" s="23" t="str">
        <f>IF($G28="","",MEDIAN(참조데이터!$H$1,참조데이터!$H$2,$G28+3*IF($G28=참조데이터!$H$1,1,-1)))</f>
        <v/>
      </c>
      <c r="N28" s="20" t="str">
        <f>IFERROR(INDEX(참조데이터!$D$2:$D$6,MATCH($O28,참조데이터!$E$2:$E$6,0)),"")</f>
        <v/>
      </c>
      <c r="O28" s="22" t="str">
        <f>IF($G28="","",MEDIAN(참조데이터!$H$1,참조데이터!$H$2,$G28+4*IF($G28=참조데이터!$H$1,1,-1)))</f>
        <v/>
      </c>
      <c r="P28" s="17"/>
      <c r="Q28" s="20"/>
      <c r="R28" s="24"/>
      <c r="S28" s="35" t="str">
        <f>IF($D28="","",IF($D28=참조데이터!$A$3,"",IFERROR(IF(VLOOKUP($D28,참조데이터!$A$1:$C$3,3,FALSE)="",1,VLOOKUP($D28,참조데이터!$A$1:$C$3,3,FALSE)),1)))</f>
        <v/>
      </c>
      <c r="T28" s="36" t="str">
        <f>IF($D28="","",IFERROR(VLOOKUP($D28,참조데이터!$A$9:$B$11,2,FALSE),""))</f>
        <v/>
      </c>
      <c r="U28" s="17"/>
    </row>
    <row r="29" spans="1:21" ht="22.05" customHeight="1" x14ac:dyDescent="0.4">
      <c r="A29" s="44"/>
      <c r="B29" s="48"/>
      <c r="C29" s="14"/>
      <c r="D29" s="15"/>
      <c r="E29" s="16"/>
      <c r="F29" s="17" t="str">
        <f>IFERROR(INDEX(참조데이터!$D$2:$D$6,MATCH($G29,참조데이터!$E$2:$E$6,0)),"")</f>
        <v/>
      </c>
      <c r="G29" s="23" t="str">
        <f>IF($D29="척도형",참조데이터!$E$2,"")</f>
        <v/>
      </c>
      <c r="H29" s="19" t="str">
        <f>IFERROR(INDEX(참조데이터!$D$2:$D$6,MATCH($I29,참조데이터!$E$2:$E$6,0)),"")</f>
        <v/>
      </c>
      <c r="I29" s="23" t="str">
        <f>IF($G29="","",MEDIAN(참조데이터!$H$1,참조데이터!$H$2,$G29+1*IF($G29=참조데이터!$H$1,1,-1)))</f>
        <v/>
      </c>
      <c r="J29" s="19" t="str">
        <f>IFERROR(INDEX(참조데이터!$D$2:$D$6,MATCH($K29,참조데이터!$E$2:$E$6,0)),"")</f>
        <v/>
      </c>
      <c r="K29" s="23" t="str">
        <f>IF($G29="","",MEDIAN(참조데이터!$H$1,참조데이터!$H$2,$G29+2*IF($G29=참조데이터!$H$1,1,-1)))</f>
        <v/>
      </c>
      <c r="L29" s="19" t="str">
        <f>IFERROR(INDEX(참조데이터!$D$2:$D$6,MATCH($M29,참조데이터!$E$2:$E$6,0)),"")</f>
        <v/>
      </c>
      <c r="M29" s="23" t="str">
        <f>IF($G29="","",MEDIAN(참조데이터!$H$1,참조데이터!$H$2,$G29+3*IF($G29=참조데이터!$H$1,1,-1)))</f>
        <v/>
      </c>
      <c r="N29" s="20" t="str">
        <f>IFERROR(INDEX(참조데이터!$D$2:$D$6,MATCH($O29,참조데이터!$E$2:$E$6,0)),"")</f>
        <v/>
      </c>
      <c r="O29" s="22" t="str">
        <f>IF($G29="","",MEDIAN(참조데이터!$H$1,참조데이터!$H$2,$G29+4*IF($G29=참조데이터!$H$1,1,-1)))</f>
        <v/>
      </c>
      <c r="P29" s="17"/>
      <c r="Q29" s="20"/>
      <c r="R29" s="24"/>
      <c r="S29" s="35" t="str">
        <f>IF($D29="","",IF($D29=참조데이터!$A$3,"",IFERROR(IF(VLOOKUP($D29,참조데이터!$A$1:$C$3,3,FALSE)="",1,VLOOKUP($D29,참조데이터!$A$1:$C$3,3,FALSE)),1)))</f>
        <v/>
      </c>
      <c r="T29" s="36" t="str">
        <f>IF($D29="","",IFERROR(VLOOKUP($D29,참조데이터!$A$9:$B$11,2,FALSE),""))</f>
        <v/>
      </c>
      <c r="U29" s="17"/>
    </row>
    <row r="30" spans="1:21" ht="22.05" customHeight="1" x14ac:dyDescent="0.4">
      <c r="A30" s="44"/>
      <c r="B30" s="48"/>
      <c r="C30" s="14"/>
      <c r="D30" s="15"/>
      <c r="E30" s="16"/>
      <c r="F30" s="17" t="str">
        <f>IFERROR(INDEX(참조데이터!$D$2:$D$6,MATCH($G30,참조데이터!$E$2:$E$6,0)),"")</f>
        <v/>
      </c>
      <c r="G30" s="23" t="str">
        <f>IF($D30="척도형",참조데이터!$E$2,"")</f>
        <v/>
      </c>
      <c r="H30" s="19" t="str">
        <f>IFERROR(INDEX(참조데이터!$D$2:$D$6,MATCH($I30,참조데이터!$E$2:$E$6,0)),"")</f>
        <v/>
      </c>
      <c r="I30" s="23" t="str">
        <f>IF($G30="","",MEDIAN(참조데이터!$H$1,참조데이터!$H$2,$G30+1*IF($G30=참조데이터!$H$1,1,-1)))</f>
        <v/>
      </c>
      <c r="J30" s="19" t="str">
        <f>IFERROR(INDEX(참조데이터!$D$2:$D$6,MATCH($K30,참조데이터!$E$2:$E$6,0)),"")</f>
        <v/>
      </c>
      <c r="K30" s="23" t="str">
        <f>IF($G30="","",MEDIAN(참조데이터!$H$1,참조데이터!$H$2,$G30+2*IF($G30=참조데이터!$H$1,1,-1)))</f>
        <v/>
      </c>
      <c r="L30" s="19" t="str">
        <f>IFERROR(INDEX(참조데이터!$D$2:$D$6,MATCH($M30,참조데이터!$E$2:$E$6,0)),"")</f>
        <v/>
      </c>
      <c r="M30" s="23" t="str">
        <f>IF($G30="","",MEDIAN(참조데이터!$H$1,참조데이터!$H$2,$G30+3*IF($G30=참조데이터!$H$1,1,-1)))</f>
        <v/>
      </c>
      <c r="N30" s="20" t="str">
        <f>IFERROR(INDEX(참조데이터!$D$2:$D$6,MATCH($O30,참조데이터!$E$2:$E$6,0)),"")</f>
        <v/>
      </c>
      <c r="O30" s="22" t="str">
        <f>IF($G30="","",MEDIAN(참조데이터!$H$1,참조데이터!$H$2,$G30+4*IF($G30=참조데이터!$H$1,1,-1)))</f>
        <v/>
      </c>
      <c r="P30" s="17"/>
      <c r="Q30" s="20"/>
      <c r="R30" s="24"/>
      <c r="S30" s="35" t="str">
        <f>IF($D30="","",IF($D30=참조데이터!$A$3,"",IFERROR(IF(VLOOKUP($D30,참조데이터!$A$1:$C$3,3,FALSE)="",1,VLOOKUP($D30,참조데이터!$A$1:$C$3,3,FALSE)),1)))</f>
        <v/>
      </c>
      <c r="T30" s="36" t="str">
        <f>IF($D30="","",IFERROR(VLOOKUP($D30,참조데이터!$A$9:$B$11,2,FALSE),""))</f>
        <v/>
      </c>
      <c r="U30" s="17"/>
    </row>
    <row r="31" spans="1:21" ht="22.05" customHeight="1" x14ac:dyDescent="0.4">
      <c r="A31" s="44"/>
      <c r="B31" s="48"/>
      <c r="C31" s="14"/>
      <c r="D31" s="15"/>
      <c r="E31" s="16"/>
      <c r="F31" s="17" t="str">
        <f>IFERROR(INDEX(참조데이터!$D$2:$D$6,MATCH($G31,참조데이터!$E$2:$E$6,0)),"")</f>
        <v/>
      </c>
      <c r="G31" s="23" t="str">
        <f>IF($D31="척도형",참조데이터!$E$2,"")</f>
        <v/>
      </c>
      <c r="H31" s="19" t="str">
        <f>IFERROR(INDEX(참조데이터!$D$2:$D$6,MATCH($I31,참조데이터!$E$2:$E$6,0)),"")</f>
        <v/>
      </c>
      <c r="I31" s="23" t="str">
        <f>IF($G31="","",MEDIAN(참조데이터!$H$1,참조데이터!$H$2,$G31+1*IF($G31=참조데이터!$H$1,1,-1)))</f>
        <v/>
      </c>
      <c r="J31" s="19" t="str">
        <f>IFERROR(INDEX(참조데이터!$D$2:$D$6,MATCH($K31,참조데이터!$E$2:$E$6,0)),"")</f>
        <v/>
      </c>
      <c r="K31" s="23" t="str">
        <f>IF($G31="","",MEDIAN(참조데이터!$H$1,참조데이터!$H$2,$G31+2*IF($G31=참조데이터!$H$1,1,-1)))</f>
        <v/>
      </c>
      <c r="L31" s="19" t="str">
        <f>IFERROR(INDEX(참조데이터!$D$2:$D$6,MATCH($M31,참조데이터!$E$2:$E$6,0)),"")</f>
        <v/>
      </c>
      <c r="M31" s="23" t="str">
        <f>IF($G31="","",MEDIAN(참조데이터!$H$1,참조데이터!$H$2,$G31+3*IF($G31=참조데이터!$H$1,1,-1)))</f>
        <v/>
      </c>
      <c r="N31" s="20" t="str">
        <f>IFERROR(INDEX(참조데이터!$D$2:$D$6,MATCH($O31,참조데이터!$E$2:$E$6,0)),"")</f>
        <v/>
      </c>
      <c r="O31" s="22" t="str">
        <f>IF($G31="","",MEDIAN(참조데이터!$H$1,참조데이터!$H$2,$G31+4*IF($G31=참조데이터!$H$1,1,-1)))</f>
        <v/>
      </c>
      <c r="P31" s="17"/>
      <c r="Q31" s="20"/>
      <c r="R31" s="24"/>
      <c r="S31" s="35" t="str">
        <f>IF($D31="","",IF($D31=참조데이터!$A$3,"",IFERROR(IF(VLOOKUP($D31,참조데이터!$A$1:$C$3,3,FALSE)="",1,VLOOKUP($D31,참조데이터!$A$1:$C$3,3,FALSE)),1)))</f>
        <v/>
      </c>
      <c r="T31" s="36" t="str">
        <f>IF($D31="","",IFERROR(VLOOKUP($D31,참조데이터!$A$9:$B$11,2,FALSE),""))</f>
        <v/>
      </c>
      <c r="U31" s="17"/>
    </row>
    <row r="32" spans="1:21" ht="22.05" customHeight="1" x14ac:dyDescent="0.4">
      <c r="A32" s="44"/>
      <c r="B32" s="48"/>
      <c r="C32" s="14"/>
      <c r="D32" s="15"/>
      <c r="E32" s="16"/>
      <c r="F32" s="17" t="str">
        <f>IFERROR(INDEX(참조데이터!$D$2:$D$6,MATCH($G32,참조데이터!$E$2:$E$6,0)),"")</f>
        <v/>
      </c>
      <c r="G32" s="23" t="str">
        <f>IF($D32="척도형",참조데이터!$E$2,"")</f>
        <v/>
      </c>
      <c r="H32" s="19" t="str">
        <f>IFERROR(INDEX(참조데이터!$D$2:$D$6,MATCH($I32,참조데이터!$E$2:$E$6,0)),"")</f>
        <v/>
      </c>
      <c r="I32" s="23" t="str">
        <f>IF($G32="","",MEDIAN(참조데이터!$H$1,참조데이터!$H$2,$G32+1*IF($G32=참조데이터!$H$1,1,-1)))</f>
        <v/>
      </c>
      <c r="J32" s="19" t="str">
        <f>IFERROR(INDEX(참조데이터!$D$2:$D$6,MATCH($K32,참조데이터!$E$2:$E$6,0)),"")</f>
        <v/>
      </c>
      <c r="K32" s="23" t="str">
        <f>IF($G32="","",MEDIAN(참조데이터!$H$1,참조데이터!$H$2,$G32+2*IF($G32=참조데이터!$H$1,1,-1)))</f>
        <v/>
      </c>
      <c r="L32" s="19" t="str">
        <f>IFERROR(INDEX(참조데이터!$D$2:$D$6,MATCH($M32,참조데이터!$E$2:$E$6,0)),"")</f>
        <v/>
      </c>
      <c r="M32" s="23" t="str">
        <f>IF($G32="","",MEDIAN(참조데이터!$H$1,참조데이터!$H$2,$G32+3*IF($G32=참조데이터!$H$1,1,-1)))</f>
        <v/>
      </c>
      <c r="N32" s="20" t="str">
        <f>IFERROR(INDEX(참조데이터!$D$2:$D$6,MATCH($O32,참조데이터!$E$2:$E$6,0)),"")</f>
        <v/>
      </c>
      <c r="O32" s="22" t="str">
        <f>IF($G32="","",MEDIAN(참조데이터!$H$1,참조데이터!$H$2,$G32+4*IF($G32=참조데이터!$H$1,1,-1)))</f>
        <v/>
      </c>
      <c r="P32" s="17"/>
      <c r="Q32" s="20"/>
      <c r="R32" s="24"/>
      <c r="S32" s="35" t="str">
        <f>IF($D32="","",IF($D32=참조데이터!$A$3,"",IFERROR(IF(VLOOKUP($D32,참조데이터!$A$1:$C$3,3,FALSE)="",1,VLOOKUP($D32,참조데이터!$A$1:$C$3,3,FALSE)),1)))</f>
        <v/>
      </c>
      <c r="T32" s="36" t="str">
        <f>IF($D32="","",IFERROR(VLOOKUP($D32,참조데이터!$A$9:$B$11,2,FALSE),""))</f>
        <v/>
      </c>
      <c r="U32" s="17"/>
    </row>
    <row r="33" spans="1:21" ht="22.05" customHeight="1" x14ac:dyDescent="0.4">
      <c r="A33" s="44"/>
      <c r="B33" s="48"/>
      <c r="C33" s="14"/>
      <c r="D33" s="15"/>
      <c r="E33" s="16"/>
      <c r="F33" s="17" t="str">
        <f>IFERROR(INDEX(참조데이터!$D$2:$D$6,MATCH($G33,참조데이터!$E$2:$E$6,0)),"")</f>
        <v/>
      </c>
      <c r="G33" s="23" t="str">
        <f>IF($D33="척도형",참조데이터!$E$2,"")</f>
        <v/>
      </c>
      <c r="H33" s="19" t="str">
        <f>IFERROR(INDEX(참조데이터!$D$2:$D$6,MATCH($I33,참조데이터!$E$2:$E$6,0)),"")</f>
        <v/>
      </c>
      <c r="I33" s="23" t="str">
        <f>IF($G33="","",MEDIAN(참조데이터!$H$1,참조데이터!$H$2,$G33+1*IF($G33=참조데이터!$H$1,1,-1)))</f>
        <v/>
      </c>
      <c r="J33" s="19" t="str">
        <f>IFERROR(INDEX(참조데이터!$D$2:$D$6,MATCH($K33,참조데이터!$E$2:$E$6,0)),"")</f>
        <v/>
      </c>
      <c r="K33" s="23" t="str">
        <f>IF($G33="","",MEDIAN(참조데이터!$H$1,참조데이터!$H$2,$G33+2*IF($G33=참조데이터!$H$1,1,-1)))</f>
        <v/>
      </c>
      <c r="L33" s="19" t="str">
        <f>IFERROR(INDEX(참조데이터!$D$2:$D$6,MATCH($M33,참조데이터!$E$2:$E$6,0)),"")</f>
        <v/>
      </c>
      <c r="M33" s="23" t="str">
        <f>IF($G33="","",MEDIAN(참조데이터!$H$1,참조데이터!$H$2,$G33+3*IF($G33=참조데이터!$H$1,1,-1)))</f>
        <v/>
      </c>
      <c r="N33" s="20" t="str">
        <f>IFERROR(INDEX(참조데이터!$D$2:$D$6,MATCH($O33,참조데이터!$E$2:$E$6,0)),"")</f>
        <v/>
      </c>
      <c r="O33" s="22" t="str">
        <f>IF($G33="","",MEDIAN(참조데이터!$H$1,참조데이터!$H$2,$G33+4*IF($G33=참조데이터!$H$1,1,-1)))</f>
        <v/>
      </c>
      <c r="P33" s="17"/>
      <c r="Q33" s="20"/>
      <c r="R33" s="24"/>
      <c r="S33" s="35" t="str">
        <f>IF($D33="","",IF($D33=참조데이터!$A$3,"",IFERROR(IF(VLOOKUP($D33,참조데이터!$A$1:$C$3,3,FALSE)="",1,VLOOKUP($D33,참조데이터!$A$1:$C$3,3,FALSE)),1)))</f>
        <v/>
      </c>
      <c r="T33" s="36" t="str">
        <f>IF($D33="","",IFERROR(VLOOKUP($D33,참조데이터!$A$9:$B$11,2,FALSE),""))</f>
        <v/>
      </c>
      <c r="U33" s="17"/>
    </row>
    <row r="34" spans="1:21" ht="22.05" customHeight="1" x14ac:dyDescent="0.4">
      <c r="A34" s="44"/>
      <c r="B34" s="48"/>
      <c r="C34" s="14"/>
      <c r="D34" s="15"/>
      <c r="E34" s="16"/>
      <c r="F34" s="17" t="str">
        <f>IFERROR(INDEX(참조데이터!$D$2:$D$6,MATCH($G34,참조데이터!$E$2:$E$6,0)),"")</f>
        <v/>
      </c>
      <c r="G34" s="23" t="str">
        <f>IF($D34="척도형",참조데이터!$E$2,"")</f>
        <v/>
      </c>
      <c r="H34" s="19" t="str">
        <f>IFERROR(INDEX(참조데이터!$D$2:$D$6,MATCH($I34,참조데이터!$E$2:$E$6,0)),"")</f>
        <v/>
      </c>
      <c r="I34" s="23" t="str">
        <f>IF($G34="","",MEDIAN(참조데이터!$H$1,참조데이터!$H$2,$G34+1*IF($G34=참조데이터!$H$1,1,-1)))</f>
        <v/>
      </c>
      <c r="J34" s="19" t="str">
        <f>IFERROR(INDEX(참조데이터!$D$2:$D$6,MATCH($K34,참조데이터!$E$2:$E$6,0)),"")</f>
        <v/>
      </c>
      <c r="K34" s="23" t="str">
        <f>IF($G34="","",MEDIAN(참조데이터!$H$1,참조데이터!$H$2,$G34+2*IF($G34=참조데이터!$H$1,1,-1)))</f>
        <v/>
      </c>
      <c r="L34" s="19" t="str">
        <f>IFERROR(INDEX(참조데이터!$D$2:$D$6,MATCH($M34,참조데이터!$E$2:$E$6,0)),"")</f>
        <v/>
      </c>
      <c r="M34" s="23" t="str">
        <f>IF($G34="","",MEDIAN(참조데이터!$H$1,참조데이터!$H$2,$G34+3*IF($G34=참조데이터!$H$1,1,-1)))</f>
        <v/>
      </c>
      <c r="N34" s="20" t="str">
        <f>IFERROR(INDEX(참조데이터!$D$2:$D$6,MATCH($O34,참조데이터!$E$2:$E$6,0)),"")</f>
        <v/>
      </c>
      <c r="O34" s="22" t="str">
        <f>IF($G34="","",MEDIAN(참조데이터!$H$1,참조데이터!$H$2,$G34+4*IF($G34=참조데이터!$H$1,1,-1)))</f>
        <v/>
      </c>
      <c r="P34" s="17"/>
      <c r="Q34" s="20"/>
      <c r="R34" s="24"/>
      <c r="S34" s="35" t="str">
        <f>IF($D34="","",IF($D34=참조데이터!$A$3,"",IFERROR(IF(VLOOKUP($D34,참조데이터!$A$1:$C$3,3,FALSE)="",1,VLOOKUP($D34,참조데이터!$A$1:$C$3,3,FALSE)),1)))</f>
        <v/>
      </c>
      <c r="T34" s="36" t="str">
        <f>IF($D34="","",IFERROR(VLOOKUP($D34,참조데이터!$A$9:$B$11,2,FALSE),""))</f>
        <v/>
      </c>
      <c r="U34" s="17"/>
    </row>
    <row r="35" spans="1:21" ht="22.05" customHeight="1" x14ac:dyDescent="0.4">
      <c r="A35" s="44"/>
      <c r="B35" s="48"/>
      <c r="C35" s="14"/>
      <c r="D35" s="15"/>
      <c r="E35" s="16"/>
      <c r="F35" s="17" t="str">
        <f>IFERROR(INDEX(참조데이터!$D$2:$D$6,MATCH($G35,참조데이터!$E$2:$E$6,0)),"")</f>
        <v/>
      </c>
      <c r="G35" s="23" t="str">
        <f>IF($D35="척도형",참조데이터!$E$2,"")</f>
        <v/>
      </c>
      <c r="H35" s="19" t="str">
        <f>IFERROR(INDEX(참조데이터!$D$2:$D$6,MATCH($I35,참조데이터!$E$2:$E$6,0)),"")</f>
        <v/>
      </c>
      <c r="I35" s="23" t="str">
        <f>IF($G35="","",MEDIAN(참조데이터!$H$1,참조데이터!$H$2,$G35+1*IF($G35=참조데이터!$H$1,1,-1)))</f>
        <v/>
      </c>
      <c r="J35" s="19" t="str">
        <f>IFERROR(INDEX(참조데이터!$D$2:$D$6,MATCH($K35,참조데이터!$E$2:$E$6,0)),"")</f>
        <v/>
      </c>
      <c r="K35" s="23" t="str">
        <f>IF($G35="","",MEDIAN(참조데이터!$H$1,참조데이터!$H$2,$G35+2*IF($G35=참조데이터!$H$1,1,-1)))</f>
        <v/>
      </c>
      <c r="L35" s="19" t="str">
        <f>IFERROR(INDEX(참조데이터!$D$2:$D$6,MATCH($M35,참조데이터!$E$2:$E$6,0)),"")</f>
        <v/>
      </c>
      <c r="M35" s="23" t="str">
        <f>IF($G35="","",MEDIAN(참조데이터!$H$1,참조데이터!$H$2,$G35+3*IF($G35=참조데이터!$H$1,1,-1)))</f>
        <v/>
      </c>
      <c r="N35" s="20" t="str">
        <f>IFERROR(INDEX(참조데이터!$D$2:$D$6,MATCH($O35,참조데이터!$E$2:$E$6,0)),"")</f>
        <v/>
      </c>
      <c r="O35" s="22" t="str">
        <f>IF($G35="","",MEDIAN(참조데이터!$H$1,참조데이터!$H$2,$G35+4*IF($G35=참조데이터!$H$1,1,-1)))</f>
        <v/>
      </c>
      <c r="P35" s="17"/>
      <c r="Q35" s="20"/>
      <c r="R35" s="24"/>
      <c r="S35" s="35" t="str">
        <f>IF($D35="","",IF($D35=참조데이터!$A$3,"",IFERROR(IF(VLOOKUP($D35,참조데이터!$A$1:$C$3,3,FALSE)="",1,VLOOKUP($D35,참조데이터!$A$1:$C$3,3,FALSE)),1)))</f>
        <v/>
      </c>
      <c r="T35" s="36" t="str">
        <f>IF($D35="","",IFERROR(VLOOKUP($D35,참조데이터!$A$9:$B$11,2,FALSE),""))</f>
        <v/>
      </c>
      <c r="U35" s="17"/>
    </row>
    <row r="36" spans="1:21" ht="22.05" customHeight="1" x14ac:dyDescent="0.4">
      <c r="A36" s="44"/>
      <c r="B36" s="48"/>
      <c r="C36" s="14"/>
      <c r="D36" s="15"/>
      <c r="E36" s="16"/>
      <c r="F36" s="17" t="str">
        <f>IFERROR(INDEX(참조데이터!$D$2:$D$6,MATCH($G36,참조데이터!$E$2:$E$6,0)),"")</f>
        <v/>
      </c>
      <c r="G36" s="23" t="str">
        <f>IF($D36="척도형",참조데이터!$E$2,"")</f>
        <v/>
      </c>
      <c r="H36" s="19" t="str">
        <f>IFERROR(INDEX(참조데이터!$D$2:$D$6,MATCH($I36,참조데이터!$E$2:$E$6,0)),"")</f>
        <v/>
      </c>
      <c r="I36" s="23" t="str">
        <f>IF($G36="","",MEDIAN(참조데이터!$H$1,참조데이터!$H$2,$G36+1*IF($G36=참조데이터!$H$1,1,-1)))</f>
        <v/>
      </c>
      <c r="J36" s="19" t="str">
        <f>IFERROR(INDEX(참조데이터!$D$2:$D$6,MATCH($K36,참조데이터!$E$2:$E$6,0)),"")</f>
        <v/>
      </c>
      <c r="K36" s="23" t="str">
        <f>IF($G36="","",MEDIAN(참조데이터!$H$1,참조데이터!$H$2,$G36+2*IF($G36=참조데이터!$H$1,1,-1)))</f>
        <v/>
      </c>
      <c r="L36" s="19" t="str">
        <f>IFERROR(INDEX(참조데이터!$D$2:$D$6,MATCH($M36,참조데이터!$E$2:$E$6,0)),"")</f>
        <v/>
      </c>
      <c r="M36" s="23" t="str">
        <f>IF($G36="","",MEDIAN(참조데이터!$H$1,참조데이터!$H$2,$G36+3*IF($G36=참조데이터!$H$1,1,-1)))</f>
        <v/>
      </c>
      <c r="N36" s="20" t="str">
        <f>IFERROR(INDEX(참조데이터!$D$2:$D$6,MATCH($O36,참조데이터!$E$2:$E$6,0)),"")</f>
        <v/>
      </c>
      <c r="O36" s="22" t="str">
        <f>IF($G36="","",MEDIAN(참조데이터!$H$1,참조데이터!$H$2,$G36+4*IF($G36=참조데이터!$H$1,1,-1)))</f>
        <v/>
      </c>
      <c r="P36" s="17"/>
      <c r="Q36" s="20"/>
      <c r="R36" s="24"/>
      <c r="S36" s="35" t="str">
        <f>IF($D36="","",IF($D36=참조데이터!$A$3,"",IFERROR(IF(VLOOKUP($D36,참조데이터!$A$1:$C$3,3,FALSE)="",1,VLOOKUP($D36,참조데이터!$A$1:$C$3,3,FALSE)),1)))</f>
        <v/>
      </c>
      <c r="T36" s="36" t="str">
        <f>IF($D36="","",IFERROR(VLOOKUP($D36,참조데이터!$A$9:$B$11,2,FALSE),""))</f>
        <v/>
      </c>
      <c r="U36" s="17"/>
    </row>
    <row r="37" spans="1:21" ht="22.05" customHeight="1" x14ac:dyDescent="0.4">
      <c r="A37" s="44"/>
      <c r="B37" s="48"/>
      <c r="C37" s="14"/>
      <c r="D37" s="15"/>
      <c r="E37" s="16"/>
      <c r="F37" s="17" t="str">
        <f>IFERROR(INDEX(참조데이터!$D$2:$D$6,MATCH($G37,참조데이터!$E$2:$E$6,0)),"")</f>
        <v/>
      </c>
      <c r="G37" s="23" t="str">
        <f>IF($D37="척도형",참조데이터!$E$2,"")</f>
        <v/>
      </c>
      <c r="H37" s="19" t="str">
        <f>IFERROR(INDEX(참조데이터!$D$2:$D$6,MATCH($I37,참조데이터!$E$2:$E$6,0)),"")</f>
        <v/>
      </c>
      <c r="I37" s="23" t="str">
        <f>IF($G37="","",MEDIAN(참조데이터!$H$1,참조데이터!$H$2,$G37+1*IF($G37=참조데이터!$H$1,1,-1)))</f>
        <v/>
      </c>
      <c r="J37" s="19" t="str">
        <f>IFERROR(INDEX(참조데이터!$D$2:$D$6,MATCH($K37,참조데이터!$E$2:$E$6,0)),"")</f>
        <v/>
      </c>
      <c r="K37" s="23" t="str">
        <f>IF($G37="","",MEDIAN(참조데이터!$H$1,참조데이터!$H$2,$G37+2*IF($G37=참조데이터!$H$1,1,-1)))</f>
        <v/>
      </c>
      <c r="L37" s="19" t="str">
        <f>IFERROR(INDEX(참조데이터!$D$2:$D$6,MATCH($M37,참조데이터!$E$2:$E$6,0)),"")</f>
        <v/>
      </c>
      <c r="M37" s="23" t="str">
        <f>IF($G37="","",MEDIAN(참조데이터!$H$1,참조데이터!$H$2,$G37+3*IF($G37=참조데이터!$H$1,1,-1)))</f>
        <v/>
      </c>
      <c r="N37" s="20" t="str">
        <f>IFERROR(INDEX(참조데이터!$D$2:$D$6,MATCH($O37,참조데이터!$E$2:$E$6,0)),"")</f>
        <v/>
      </c>
      <c r="O37" s="22" t="str">
        <f>IF($G37="","",MEDIAN(참조데이터!$H$1,참조데이터!$H$2,$G37+4*IF($G37=참조데이터!$H$1,1,-1)))</f>
        <v/>
      </c>
      <c r="P37" s="17"/>
      <c r="Q37" s="20"/>
      <c r="R37" s="24"/>
      <c r="S37" s="35" t="str">
        <f>IF($D37="","",IF($D37=참조데이터!$A$3,"",IFERROR(IF(VLOOKUP($D37,참조데이터!$A$1:$C$3,3,FALSE)="",1,VLOOKUP($D37,참조데이터!$A$1:$C$3,3,FALSE)),1)))</f>
        <v/>
      </c>
      <c r="T37" s="36" t="str">
        <f>IF($D37="","",IFERROR(VLOOKUP($D37,참조데이터!$A$9:$B$11,2,FALSE),""))</f>
        <v/>
      </c>
      <c r="U37" s="17"/>
    </row>
    <row r="38" spans="1:21" ht="22.05" customHeight="1" x14ac:dyDescent="0.4">
      <c r="A38" s="44"/>
      <c r="B38" s="48"/>
      <c r="C38" s="14"/>
      <c r="D38" s="15"/>
      <c r="E38" s="16"/>
      <c r="F38" s="17" t="str">
        <f>IFERROR(INDEX(참조데이터!$D$2:$D$6,MATCH($G38,참조데이터!$E$2:$E$6,0)),"")</f>
        <v/>
      </c>
      <c r="G38" s="23" t="str">
        <f>IF($D38="척도형",참조데이터!$E$2,"")</f>
        <v/>
      </c>
      <c r="H38" s="19" t="str">
        <f>IFERROR(INDEX(참조데이터!$D$2:$D$6,MATCH($I38,참조데이터!$E$2:$E$6,0)),"")</f>
        <v/>
      </c>
      <c r="I38" s="23" t="str">
        <f>IF($G38="","",MEDIAN(참조데이터!$H$1,참조데이터!$H$2,$G38+1*IF($G38=참조데이터!$H$1,1,-1)))</f>
        <v/>
      </c>
      <c r="J38" s="19" t="str">
        <f>IFERROR(INDEX(참조데이터!$D$2:$D$6,MATCH($K38,참조데이터!$E$2:$E$6,0)),"")</f>
        <v/>
      </c>
      <c r="K38" s="23" t="str">
        <f>IF($G38="","",MEDIAN(참조데이터!$H$1,참조데이터!$H$2,$G38+2*IF($G38=참조데이터!$H$1,1,-1)))</f>
        <v/>
      </c>
      <c r="L38" s="19" t="str">
        <f>IFERROR(INDEX(참조데이터!$D$2:$D$6,MATCH($M38,참조데이터!$E$2:$E$6,0)),"")</f>
        <v/>
      </c>
      <c r="M38" s="23" t="str">
        <f>IF($G38="","",MEDIAN(참조데이터!$H$1,참조데이터!$H$2,$G38+3*IF($G38=참조데이터!$H$1,1,-1)))</f>
        <v/>
      </c>
      <c r="N38" s="20" t="str">
        <f>IFERROR(INDEX(참조데이터!$D$2:$D$6,MATCH($O38,참조데이터!$E$2:$E$6,0)),"")</f>
        <v/>
      </c>
      <c r="O38" s="22" t="str">
        <f>IF($G38="","",MEDIAN(참조데이터!$H$1,참조데이터!$H$2,$G38+4*IF($G38=참조데이터!$H$1,1,-1)))</f>
        <v/>
      </c>
      <c r="P38" s="17"/>
      <c r="Q38" s="20"/>
      <c r="R38" s="24"/>
      <c r="S38" s="35" t="str">
        <f>IF($D38="","",IF($D38=참조데이터!$A$3,"",IFERROR(IF(VLOOKUP($D38,참조데이터!$A$1:$C$3,3,FALSE)="",1,VLOOKUP($D38,참조데이터!$A$1:$C$3,3,FALSE)),1)))</f>
        <v/>
      </c>
      <c r="T38" s="36" t="str">
        <f>IF($D38="","",IFERROR(VLOOKUP($D38,참조데이터!$A$9:$B$11,2,FALSE),""))</f>
        <v/>
      </c>
      <c r="U38" s="17"/>
    </row>
    <row r="39" spans="1:21" ht="22.05" customHeight="1" x14ac:dyDescent="0.4">
      <c r="A39" s="44"/>
      <c r="B39" s="48"/>
      <c r="C39" s="14"/>
      <c r="D39" s="15"/>
      <c r="E39" s="16"/>
      <c r="F39" s="17" t="str">
        <f>IFERROR(INDEX(참조데이터!$D$2:$D$6,MATCH($G39,참조데이터!$E$2:$E$6,0)),"")</f>
        <v/>
      </c>
      <c r="G39" s="23" t="str">
        <f>IF($D39="척도형",참조데이터!$E$2,"")</f>
        <v/>
      </c>
      <c r="H39" s="19" t="str">
        <f>IFERROR(INDEX(참조데이터!$D$2:$D$6,MATCH($I39,참조데이터!$E$2:$E$6,0)),"")</f>
        <v/>
      </c>
      <c r="I39" s="23" t="str">
        <f>IF($G39="","",MEDIAN(참조데이터!$H$1,참조데이터!$H$2,$G39+1*IF($G39=참조데이터!$H$1,1,-1)))</f>
        <v/>
      </c>
      <c r="J39" s="19" t="str">
        <f>IFERROR(INDEX(참조데이터!$D$2:$D$6,MATCH($K39,참조데이터!$E$2:$E$6,0)),"")</f>
        <v/>
      </c>
      <c r="K39" s="23" t="str">
        <f>IF($G39="","",MEDIAN(참조데이터!$H$1,참조데이터!$H$2,$G39+2*IF($G39=참조데이터!$H$1,1,-1)))</f>
        <v/>
      </c>
      <c r="L39" s="19" t="str">
        <f>IFERROR(INDEX(참조데이터!$D$2:$D$6,MATCH($M39,참조데이터!$E$2:$E$6,0)),"")</f>
        <v/>
      </c>
      <c r="M39" s="23" t="str">
        <f>IF($G39="","",MEDIAN(참조데이터!$H$1,참조데이터!$H$2,$G39+3*IF($G39=참조데이터!$H$1,1,-1)))</f>
        <v/>
      </c>
      <c r="N39" s="20" t="str">
        <f>IFERROR(INDEX(참조데이터!$D$2:$D$6,MATCH($O39,참조데이터!$E$2:$E$6,0)),"")</f>
        <v/>
      </c>
      <c r="O39" s="22" t="str">
        <f>IF($G39="","",MEDIAN(참조데이터!$H$1,참조데이터!$H$2,$G39+4*IF($G39=참조데이터!$H$1,1,-1)))</f>
        <v/>
      </c>
      <c r="P39" s="17"/>
      <c r="Q39" s="20"/>
      <c r="R39" s="24"/>
      <c r="S39" s="35" t="str">
        <f>IF($D39="","",IF($D39=참조데이터!$A$3,"",IFERROR(IF(VLOOKUP($D39,참조데이터!$A$1:$C$3,3,FALSE)="",1,VLOOKUP($D39,참조데이터!$A$1:$C$3,3,FALSE)),1)))</f>
        <v/>
      </c>
      <c r="T39" s="36" t="str">
        <f>IF($D39="","",IFERROR(VLOOKUP($D39,참조데이터!$A$9:$B$11,2,FALSE),""))</f>
        <v/>
      </c>
      <c r="U39" s="17"/>
    </row>
    <row r="40" spans="1:21" ht="22.05" customHeight="1" x14ac:dyDescent="0.4">
      <c r="A40" s="44"/>
      <c r="B40" s="48"/>
      <c r="C40" s="14"/>
      <c r="D40" s="15"/>
      <c r="E40" s="16"/>
      <c r="F40" s="17" t="str">
        <f>IFERROR(INDEX(참조데이터!$D$2:$D$6,MATCH($G40,참조데이터!$E$2:$E$6,0)),"")</f>
        <v/>
      </c>
      <c r="G40" s="23" t="str">
        <f>IF($D40="척도형",참조데이터!$E$2,"")</f>
        <v/>
      </c>
      <c r="H40" s="19" t="str">
        <f>IFERROR(INDEX(참조데이터!$D$2:$D$6,MATCH($I40,참조데이터!$E$2:$E$6,0)),"")</f>
        <v/>
      </c>
      <c r="I40" s="23" t="str">
        <f>IF($G40="","",MEDIAN(참조데이터!$H$1,참조데이터!$H$2,$G40+1*IF($G40=참조데이터!$H$1,1,-1)))</f>
        <v/>
      </c>
      <c r="J40" s="19" t="str">
        <f>IFERROR(INDEX(참조데이터!$D$2:$D$6,MATCH($K40,참조데이터!$E$2:$E$6,0)),"")</f>
        <v/>
      </c>
      <c r="K40" s="23" t="str">
        <f>IF($G40="","",MEDIAN(참조데이터!$H$1,참조데이터!$H$2,$G40+2*IF($G40=참조데이터!$H$1,1,-1)))</f>
        <v/>
      </c>
      <c r="L40" s="19" t="str">
        <f>IFERROR(INDEX(참조데이터!$D$2:$D$6,MATCH($M40,참조데이터!$E$2:$E$6,0)),"")</f>
        <v/>
      </c>
      <c r="M40" s="23" t="str">
        <f>IF($G40="","",MEDIAN(참조데이터!$H$1,참조데이터!$H$2,$G40+3*IF($G40=참조데이터!$H$1,1,-1)))</f>
        <v/>
      </c>
      <c r="N40" s="20" t="str">
        <f>IFERROR(INDEX(참조데이터!$D$2:$D$6,MATCH($O40,참조데이터!$E$2:$E$6,0)),"")</f>
        <v/>
      </c>
      <c r="O40" s="22" t="str">
        <f>IF($G40="","",MEDIAN(참조데이터!$H$1,참조데이터!$H$2,$G40+4*IF($G40=참조데이터!$H$1,1,-1)))</f>
        <v/>
      </c>
      <c r="P40" s="17"/>
      <c r="Q40" s="20"/>
      <c r="R40" s="24"/>
      <c r="S40" s="35" t="str">
        <f>IF($D40="","",IF($D40=참조데이터!$A$3,"",IFERROR(IF(VLOOKUP($D40,참조데이터!$A$1:$C$3,3,FALSE)="",1,VLOOKUP($D40,참조데이터!$A$1:$C$3,3,FALSE)),1)))</f>
        <v/>
      </c>
      <c r="T40" s="36" t="str">
        <f>IF($D40="","",IFERROR(VLOOKUP($D40,참조데이터!$A$9:$B$11,2,FALSE),""))</f>
        <v/>
      </c>
      <c r="U40" s="17"/>
    </row>
    <row r="41" spans="1:21" ht="22.05" customHeight="1" x14ac:dyDescent="0.4">
      <c r="A41" s="44"/>
      <c r="B41" s="48"/>
      <c r="C41" s="14"/>
      <c r="D41" s="15"/>
      <c r="E41" s="16"/>
      <c r="F41" s="17" t="str">
        <f>IFERROR(INDEX(참조데이터!$D$2:$D$6,MATCH($G41,참조데이터!$E$2:$E$6,0)),"")</f>
        <v/>
      </c>
      <c r="G41" s="23" t="str">
        <f>IF($D41="척도형",참조데이터!$E$2,"")</f>
        <v/>
      </c>
      <c r="H41" s="19" t="str">
        <f>IFERROR(INDEX(참조데이터!$D$2:$D$6,MATCH($I41,참조데이터!$E$2:$E$6,0)),"")</f>
        <v/>
      </c>
      <c r="I41" s="23" t="str">
        <f>IF($G41="","",MEDIAN(참조데이터!$H$1,참조데이터!$H$2,$G41+1*IF($G41=참조데이터!$H$1,1,-1)))</f>
        <v/>
      </c>
      <c r="J41" s="19" t="str">
        <f>IFERROR(INDEX(참조데이터!$D$2:$D$6,MATCH($K41,참조데이터!$E$2:$E$6,0)),"")</f>
        <v/>
      </c>
      <c r="K41" s="23" t="str">
        <f>IF($G41="","",MEDIAN(참조데이터!$H$1,참조데이터!$H$2,$G41+2*IF($G41=참조데이터!$H$1,1,-1)))</f>
        <v/>
      </c>
      <c r="L41" s="19" t="str">
        <f>IFERROR(INDEX(참조데이터!$D$2:$D$6,MATCH($M41,참조데이터!$E$2:$E$6,0)),"")</f>
        <v/>
      </c>
      <c r="M41" s="23" t="str">
        <f>IF($G41="","",MEDIAN(참조데이터!$H$1,참조데이터!$H$2,$G41+3*IF($G41=참조데이터!$H$1,1,-1)))</f>
        <v/>
      </c>
      <c r="N41" s="20" t="str">
        <f>IFERROR(INDEX(참조데이터!$D$2:$D$6,MATCH($O41,참조데이터!$E$2:$E$6,0)),"")</f>
        <v/>
      </c>
      <c r="O41" s="22" t="str">
        <f>IF($G41="","",MEDIAN(참조데이터!$H$1,참조데이터!$H$2,$G41+4*IF($G41=참조데이터!$H$1,1,-1)))</f>
        <v/>
      </c>
      <c r="P41" s="17"/>
      <c r="Q41" s="20"/>
      <c r="R41" s="24"/>
      <c r="S41" s="35" t="str">
        <f>IF($D41="","",IF($D41=참조데이터!$A$3,"",IFERROR(IF(VLOOKUP($D41,참조데이터!$A$1:$C$3,3,FALSE)="",1,VLOOKUP($D41,참조데이터!$A$1:$C$3,3,FALSE)),1)))</f>
        <v/>
      </c>
      <c r="T41" s="36" t="str">
        <f>IF($D41="","",IFERROR(VLOOKUP($D41,참조데이터!$A$9:$B$11,2,FALSE),""))</f>
        <v/>
      </c>
      <c r="U41" s="17"/>
    </row>
    <row r="42" spans="1:21" ht="22.05" customHeight="1" x14ac:dyDescent="0.4">
      <c r="A42" s="44"/>
      <c r="B42" s="48"/>
      <c r="C42" s="14"/>
      <c r="D42" s="15"/>
      <c r="E42" s="16"/>
      <c r="F42" s="17" t="str">
        <f>IFERROR(INDEX(참조데이터!$D$2:$D$6,MATCH($G42,참조데이터!$E$2:$E$6,0)),"")</f>
        <v/>
      </c>
      <c r="G42" s="23" t="str">
        <f>IF($D42="척도형",참조데이터!$E$2,"")</f>
        <v/>
      </c>
      <c r="H42" s="19" t="str">
        <f>IFERROR(INDEX(참조데이터!$D$2:$D$6,MATCH($I42,참조데이터!$E$2:$E$6,0)),"")</f>
        <v/>
      </c>
      <c r="I42" s="23" t="str">
        <f>IF($G42="","",MEDIAN(참조데이터!$H$1,참조데이터!$H$2,$G42+1*IF($G42=참조데이터!$H$1,1,-1)))</f>
        <v/>
      </c>
      <c r="J42" s="19" t="str">
        <f>IFERROR(INDEX(참조데이터!$D$2:$D$6,MATCH($K42,참조데이터!$E$2:$E$6,0)),"")</f>
        <v/>
      </c>
      <c r="K42" s="23" t="str">
        <f>IF($G42="","",MEDIAN(참조데이터!$H$1,참조데이터!$H$2,$G42+2*IF($G42=참조데이터!$H$1,1,-1)))</f>
        <v/>
      </c>
      <c r="L42" s="19" t="str">
        <f>IFERROR(INDEX(참조데이터!$D$2:$D$6,MATCH($M42,참조데이터!$E$2:$E$6,0)),"")</f>
        <v/>
      </c>
      <c r="M42" s="23" t="str">
        <f>IF($G42="","",MEDIAN(참조데이터!$H$1,참조데이터!$H$2,$G42+3*IF($G42=참조데이터!$H$1,1,-1)))</f>
        <v/>
      </c>
      <c r="N42" s="20" t="str">
        <f>IFERROR(INDEX(참조데이터!$D$2:$D$6,MATCH($O42,참조데이터!$E$2:$E$6,0)),"")</f>
        <v/>
      </c>
      <c r="O42" s="22" t="str">
        <f>IF($G42="","",MEDIAN(참조데이터!$H$1,참조데이터!$H$2,$G42+4*IF($G42=참조데이터!$H$1,1,-1)))</f>
        <v/>
      </c>
      <c r="P42" s="17"/>
      <c r="Q42" s="20"/>
      <c r="R42" s="24"/>
      <c r="S42" s="35" t="str">
        <f>IF($D42="","",IF($D42=참조데이터!$A$3,"",IFERROR(IF(VLOOKUP($D42,참조데이터!$A$1:$C$3,3,FALSE)="",1,VLOOKUP($D42,참조데이터!$A$1:$C$3,3,FALSE)),1)))</f>
        <v/>
      </c>
      <c r="T42" s="36" t="str">
        <f>IF($D42="","",IFERROR(VLOOKUP($D42,참조데이터!$A$9:$B$11,2,FALSE),""))</f>
        <v/>
      </c>
      <c r="U42" s="17"/>
    </row>
    <row r="43" spans="1:21" ht="22.05" customHeight="1" x14ac:dyDescent="0.4">
      <c r="A43" s="44"/>
      <c r="B43" s="48"/>
      <c r="C43" s="14"/>
      <c r="D43" s="15"/>
      <c r="E43" s="16"/>
      <c r="F43" s="17" t="str">
        <f>IFERROR(INDEX(참조데이터!$D$2:$D$6,MATCH($G43,참조데이터!$E$2:$E$6,0)),"")</f>
        <v/>
      </c>
      <c r="G43" s="23" t="str">
        <f>IF($D43="척도형",참조데이터!$E$2,"")</f>
        <v/>
      </c>
      <c r="H43" s="19" t="str">
        <f>IFERROR(INDEX(참조데이터!$D$2:$D$6,MATCH($I43,참조데이터!$E$2:$E$6,0)),"")</f>
        <v/>
      </c>
      <c r="I43" s="23" t="str">
        <f>IF($G43="","",MEDIAN(참조데이터!$H$1,참조데이터!$H$2,$G43+1*IF($G43=참조데이터!$H$1,1,-1)))</f>
        <v/>
      </c>
      <c r="J43" s="19" t="str">
        <f>IFERROR(INDEX(참조데이터!$D$2:$D$6,MATCH($K43,참조데이터!$E$2:$E$6,0)),"")</f>
        <v/>
      </c>
      <c r="K43" s="23" t="str">
        <f>IF($G43="","",MEDIAN(참조데이터!$H$1,참조데이터!$H$2,$G43+2*IF($G43=참조데이터!$H$1,1,-1)))</f>
        <v/>
      </c>
      <c r="L43" s="19" t="str">
        <f>IFERROR(INDEX(참조데이터!$D$2:$D$6,MATCH($M43,참조데이터!$E$2:$E$6,0)),"")</f>
        <v/>
      </c>
      <c r="M43" s="23" t="str">
        <f>IF($G43="","",MEDIAN(참조데이터!$H$1,참조데이터!$H$2,$G43+3*IF($G43=참조데이터!$H$1,1,-1)))</f>
        <v/>
      </c>
      <c r="N43" s="20" t="str">
        <f>IFERROR(INDEX(참조데이터!$D$2:$D$6,MATCH($O43,참조데이터!$E$2:$E$6,0)),"")</f>
        <v/>
      </c>
      <c r="O43" s="22" t="str">
        <f>IF($G43="","",MEDIAN(참조데이터!$H$1,참조데이터!$H$2,$G43+4*IF($G43=참조데이터!$H$1,1,-1)))</f>
        <v/>
      </c>
      <c r="P43" s="17"/>
      <c r="Q43" s="20"/>
      <c r="R43" s="24"/>
      <c r="S43" s="35" t="str">
        <f>IF($D43="","",IF($D43=참조데이터!$A$3,"",IFERROR(IF(VLOOKUP($D43,참조데이터!$A$1:$C$3,3,FALSE)="",1,VLOOKUP($D43,참조데이터!$A$1:$C$3,3,FALSE)),1)))</f>
        <v/>
      </c>
      <c r="T43" s="36" t="str">
        <f>IF($D43="","",IFERROR(VLOOKUP($D43,참조데이터!$A$9:$B$11,2,FALSE),""))</f>
        <v/>
      </c>
      <c r="U43" s="17"/>
    </row>
    <row r="44" spans="1:21" ht="22.05" customHeight="1" x14ac:dyDescent="0.4">
      <c r="A44" s="44"/>
      <c r="B44" s="48"/>
      <c r="C44" s="14"/>
      <c r="D44" s="15"/>
      <c r="E44" s="16"/>
      <c r="F44" s="17" t="str">
        <f>IFERROR(INDEX(참조데이터!$D$2:$D$6,MATCH($G44,참조데이터!$E$2:$E$6,0)),"")</f>
        <v/>
      </c>
      <c r="G44" s="23" t="str">
        <f>IF($D44="척도형",참조데이터!$E$2,"")</f>
        <v/>
      </c>
      <c r="H44" s="19" t="str">
        <f>IFERROR(INDEX(참조데이터!$D$2:$D$6,MATCH($I44,참조데이터!$E$2:$E$6,0)),"")</f>
        <v/>
      </c>
      <c r="I44" s="23" t="str">
        <f>IF($G44="","",MEDIAN(참조데이터!$H$1,참조데이터!$H$2,$G44+1*IF($G44=참조데이터!$H$1,1,-1)))</f>
        <v/>
      </c>
      <c r="J44" s="19" t="str">
        <f>IFERROR(INDEX(참조데이터!$D$2:$D$6,MATCH($K44,참조데이터!$E$2:$E$6,0)),"")</f>
        <v/>
      </c>
      <c r="K44" s="23" t="str">
        <f>IF($G44="","",MEDIAN(참조데이터!$H$1,참조데이터!$H$2,$G44+2*IF($G44=참조데이터!$H$1,1,-1)))</f>
        <v/>
      </c>
      <c r="L44" s="19" t="str">
        <f>IFERROR(INDEX(참조데이터!$D$2:$D$6,MATCH($M44,참조데이터!$E$2:$E$6,0)),"")</f>
        <v/>
      </c>
      <c r="M44" s="23" t="str">
        <f>IF($G44="","",MEDIAN(참조데이터!$H$1,참조데이터!$H$2,$G44+3*IF($G44=참조데이터!$H$1,1,-1)))</f>
        <v/>
      </c>
      <c r="N44" s="20" t="str">
        <f>IFERROR(INDEX(참조데이터!$D$2:$D$6,MATCH($O44,참조데이터!$E$2:$E$6,0)),"")</f>
        <v/>
      </c>
      <c r="O44" s="22" t="str">
        <f>IF($G44="","",MEDIAN(참조데이터!$H$1,참조데이터!$H$2,$G44+4*IF($G44=참조데이터!$H$1,1,-1)))</f>
        <v/>
      </c>
      <c r="P44" s="17"/>
      <c r="Q44" s="20"/>
      <c r="R44" s="24"/>
      <c r="S44" s="35" t="str">
        <f>IF($D44="","",IF($D44=참조데이터!$A$3,"",IFERROR(IF(VLOOKUP($D44,참조데이터!$A$1:$C$3,3,FALSE)="",1,VLOOKUP($D44,참조데이터!$A$1:$C$3,3,FALSE)),1)))</f>
        <v/>
      </c>
      <c r="T44" s="36" t="str">
        <f>IF($D44="","",IFERROR(VLOOKUP($D44,참조데이터!$A$9:$B$11,2,FALSE),""))</f>
        <v/>
      </c>
      <c r="U44" s="17"/>
    </row>
    <row r="45" spans="1:21" ht="22.05" customHeight="1" x14ac:dyDescent="0.4">
      <c r="A45" s="44"/>
      <c r="B45" s="48"/>
      <c r="C45" s="14"/>
      <c r="D45" s="15"/>
      <c r="E45" s="16"/>
      <c r="F45" s="17" t="str">
        <f>IFERROR(INDEX(참조데이터!$D$2:$D$6,MATCH($G45,참조데이터!$E$2:$E$6,0)),"")</f>
        <v/>
      </c>
      <c r="G45" s="23" t="str">
        <f>IF($D45="척도형",참조데이터!$E$2,"")</f>
        <v/>
      </c>
      <c r="H45" s="19" t="str">
        <f>IFERROR(INDEX(참조데이터!$D$2:$D$6,MATCH($I45,참조데이터!$E$2:$E$6,0)),"")</f>
        <v/>
      </c>
      <c r="I45" s="23" t="str">
        <f>IF($G45="","",MEDIAN(참조데이터!$H$1,참조데이터!$H$2,$G45+1*IF($G45=참조데이터!$H$1,1,-1)))</f>
        <v/>
      </c>
      <c r="J45" s="19" t="str">
        <f>IFERROR(INDEX(참조데이터!$D$2:$D$6,MATCH($K45,참조데이터!$E$2:$E$6,0)),"")</f>
        <v/>
      </c>
      <c r="K45" s="23" t="str">
        <f>IF($G45="","",MEDIAN(참조데이터!$H$1,참조데이터!$H$2,$G45+2*IF($G45=참조데이터!$H$1,1,-1)))</f>
        <v/>
      </c>
      <c r="L45" s="19" t="str">
        <f>IFERROR(INDEX(참조데이터!$D$2:$D$6,MATCH($M45,참조데이터!$E$2:$E$6,0)),"")</f>
        <v/>
      </c>
      <c r="M45" s="23" t="str">
        <f>IF($G45="","",MEDIAN(참조데이터!$H$1,참조데이터!$H$2,$G45+3*IF($G45=참조데이터!$H$1,1,-1)))</f>
        <v/>
      </c>
      <c r="N45" s="20" t="str">
        <f>IFERROR(INDEX(참조데이터!$D$2:$D$6,MATCH($O45,참조데이터!$E$2:$E$6,0)),"")</f>
        <v/>
      </c>
      <c r="O45" s="22" t="str">
        <f>IF($G45="","",MEDIAN(참조데이터!$H$1,참조데이터!$H$2,$G45+4*IF($G45=참조데이터!$H$1,1,-1)))</f>
        <v/>
      </c>
      <c r="P45" s="17"/>
      <c r="Q45" s="20"/>
      <c r="R45" s="24"/>
      <c r="S45" s="35" t="str">
        <f>IF($D45="","",IF($D45=참조데이터!$A$3,"",IFERROR(IF(VLOOKUP($D45,참조데이터!$A$1:$C$3,3,FALSE)="",1,VLOOKUP($D45,참조데이터!$A$1:$C$3,3,FALSE)),1)))</f>
        <v/>
      </c>
      <c r="T45" s="36" t="str">
        <f>IF($D45="","",IFERROR(VLOOKUP($D45,참조데이터!$A$9:$B$11,2,FALSE),""))</f>
        <v/>
      </c>
      <c r="U45" s="17"/>
    </row>
    <row r="46" spans="1:21" ht="22.05" customHeight="1" x14ac:dyDescent="0.4">
      <c r="A46" s="44"/>
      <c r="B46" s="48"/>
      <c r="C46" s="14"/>
      <c r="D46" s="15"/>
      <c r="E46" s="16"/>
      <c r="F46" s="17" t="str">
        <f>IFERROR(INDEX(참조데이터!$D$2:$D$6,MATCH($G46,참조데이터!$E$2:$E$6,0)),"")</f>
        <v/>
      </c>
      <c r="G46" s="23" t="str">
        <f>IF($D46="척도형",참조데이터!$E$2,"")</f>
        <v/>
      </c>
      <c r="H46" s="19" t="str">
        <f>IFERROR(INDEX(참조데이터!$D$2:$D$6,MATCH($I46,참조데이터!$E$2:$E$6,0)),"")</f>
        <v/>
      </c>
      <c r="I46" s="23" t="str">
        <f>IF($G46="","",MEDIAN(참조데이터!$H$1,참조데이터!$H$2,$G46+1*IF($G46=참조데이터!$H$1,1,-1)))</f>
        <v/>
      </c>
      <c r="J46" s="19" t="str">
        <f>IFERROR(INDEX(참조데이터!$D$2:$D$6,MATCH($K46,참조데이터!$E$2:$E$6,0)),"")</f>
        <v/>
      </c>
      <c r="K46" s="23" t="str">
        <f>IF($G46="","",MEDIAN(참조데이터!$H$1,참조데이터!$H$2,$G46+2*IF($G46=참조데이터!$H$1,1,-1)))</f>
        <v/>
      </c>
      <c r="L46" s="19" t="str">
        <f>IFERROR(INDEX(참조데이터!$D$2:$D$6,MATCH($M46,참조데이터!$E$2:$E$6,0)),"")</f>
        <v/>
      </c>
      <c r="M46" s="23" t="str">
        <f>IF($G46="","",MEDIAN(참조데이터!$H$1,참조데이터!$H$2,$G46+3*IF($G46=참조데이터!$H$1,1,-1)))</f>
        <v/>
      </c>
      <c r="N46" s="20" t="str">
        <f>IFERROR(INDEX(참조데이터!$D$2:$D$6,MATCH($O46,참조데이터!$E$2:$E$6,0)),"")</f>
        <v/>
      </c>
      <c r="O46" s="22" t="str">
        <f>IF($G46="","",MEDIAN(참조데이터!$H$1,참조데이터!$H$2,$G46+4*IF($G46=참조데이터!$H$1,1,-1)))</f>
        <v/>
      </c>
      <c r="P46" s="17"/>
      <c r="Q46" s="20"/>
      <c r="R46" s="24"/>
      <c r="S46" s="35" t="str">
        <f>IF($D46="","",IF($D46=참조데이터!$A$3,"",IFERROR(IF(VLOOKUP($D46,참조데이터!$A$1:$C$3,3,FALSE)="",1,VLOOKUP($D46,참조데이터!$A$1:$C$3,3,FALSE)),1)))</f>
        <v/>
      </c>
      <c r="T46" s="36" t="str">
        <f>IF($D46="","",IFERROR(VLOOKUP($D46,참조데이터!$A$9:$B$11,2,FALSE),""))</f>
        <v/>
      </c>
      <c r="U46" s="17"/>
    </row>
    <row r="47" spans="1:21" ht="22.05" customHeight="1" x14ac:dyDescent="0.4">
      <c r="A47" s="44"/>
      <c r="B47" s="48"/>
      <c r="C47" s="14"/>
      <c r="D47" s="15"/>
      <c r="E47" s="16"/>
      <c r="F47" s="17" t="str">
        <f>IFERROR(INDEX(참조데이터!$D$2:$D$6,MATCH($G47,참조데이터!$E$2:$E$6,0)),"")</f>
        <v/>
      </c>
      <c r="G47" s="23" t="str">
        <f>IF($D47="척도형",참조데이터!$E$2,"")</f>
        <v/>
      </c>
      <c r="H47" s="19" t="str">
        <f>IFERROR(INDEX(참조데이터!$D$2:$D$6,MATCH($I47,참조데이터!$E$2:$E$6,0)),"")</f>
        <v/>
      </c>
      <c r="I47" s="23" t="str">
        <f>IF($G47="","",MEDIAN(참조데이터!$H$1,참조데이터!$H$2,$G47+1*IF($G47=참조데이터!$H$1,1,-1)))</f>
        <v/>
      </c>
      <c r="J47" s="19" t="str">
        <f>IFERROR(INDEX(참조데이터!$D$2:$D$6,MATCH($K47,참조데이터!$E$2:$E$6,0)),"")</f>
        <v/>
      </c>
      <c r="K47" s="23" t="str">
        <f>IF($G47="","",MEDIAN(참조데이터!$H$1,참조데이터!$H$2,$G47+2*IF($G47=참조데이터!$H$1,1,-1)))</f>
        <v/>
      </c>
      <c r="L47" s="19" t="str">
        <f>IFERROR(INDEX(참조데이터!$D$2:$D$6,MATCH($M47,참조데이터!$E$2:$E$6,0)),"")</f>
        <v/>
      </c>
      <c r="M47" s="23" t="str">
        <f>IF($G47="","",MEDIAN(참조데이터!$H$1,참조데이터!$H$2,$G47+3*IF($G47=참조데이터!$H$1,1,-1)))</f>
        <v/>
      </c>
      <c r="N47" s="20" t="str">
        <f>IFERROR(INDEX(참조데이터!$D$2:$D$6,MATCH($O47,참조데이터!$E$2:$E$6,0)),"")</f>
        <v/>
      </c>
      <c r="O47" s="22" t="str">
        <f>IF($G47="","",MEDIAN(참조데이터!$H$1,참조데이터!$H$2,$G47+4*IF($G47=참조데이터!$H$1,1,-1)))</f>
        <v/>
      </c>
      <c r="P47" s="17"/>
      <c r="Q47" s="20"/>
      <c r="R47" s="24"/>
      <c r="S47" s="35" t="str">
        <f>IF($D47="","",IF($D47=참조데이터!$A$3,"",IFERROR(IF(VLOOKUP($D47,참조데이터!$A$1:$C$3,3,FALSE)="",1,VLOOKUP($D47,참조데이터!$A$1:$C$3,3,FALSE)),1)))</f>
        <v/>
      </c>
      <c r="T47" s="36" t="str">
        <f>IF($D47="","",IFERROR(VLOOKUP($D47,참조데이터!$A$9:$B$11,2,FALSE),""))</f>
        <v/>
      </c>
      <c r="U47" s="17"/>
    </row>
    <row r="48" spans="1:21" ht="22.05" customHeight="1" x14ac:dyDescent="0.4">
      <c r="A48" s="44"/>
      <c r="B48" s="48"/>
      <c r="C48" s="14"/>
      <c r="D48" s="15"/>
      <c r="E48" s="16"/>
      <c r="F48" s="17" t="str">
        <f>IFERROR(INDEX(참조데이터!$D$2:$D$6,MATCH($G48,참조데이터!$E$2:$E$6,0)),"")</f>
        <v/>
      </c>
      <c r="G48" s="23" t="str">
        <f>IF($D48="척도형",참조데이터!$E$2,"")</f>
        <v/>
      </c>
      <c r="H48" s="19" t="str">
        <f>IFERROR(INDEX(참조데이터!$D$2:$D$6,MATCH($I48,참조데이터!$E$2:$E$6,0)),"")</f>
        <v/>
      </c>
      <c r="I48" s="23" t="str">
        <f>IF($G48="","",MEDIAN(참조데이터!$H$1,참조데이터!$H$2,$G48+1*IF($G48=참조데이터!$H$1,1,-1)))</f>
        <v/>
      </c>
      <c r="J48" s="19" t="str">
        <f>IFERROR(INDEX(참조데이터!$D$2:$D$6,MATCH($K48,참조데이터!$E$2:$E$6,0)),"")</f>
        <v/>
      </c>
      <c r="K48" s="23" t="str">
        <f>IF($G48="","",MEDIAN(참조데이터!$H$1,참조데이터!$H$2,$G48+2*IF($G48=참조데이터!$H$1,1,-1)))</f>
        <v/>
      </c>
      <c r="L48" s="19" t="str">
        <f>IFERROR(INDEX(참조데이터!$D$2:$D$6,MATCH($M48,참조데이터!$E$2:$E$6,0)),"")</f>
        <v/>
      </c>
      <c r="M48" s="23" t="str">
        <f>IF($G48="","",MEDIAN(참조데이터!$H$1,참조데이터!$H$2,$G48+3*IF($G48=참조데이터!$H$1,1,-1)))</f>
        <v/>
      </c>
      <c r="N48" s="20" t="str">
        <f>IFERROR(INDEX(참조데이터!$D$2:$D$6,MATCH($O48,참조데이터!$E$2:$E$6,0)),"")</f>
        <v/>
      </c>
      <c r="O48" s="22" t="str">
        <f>IF($G48="","",MEDIAN(참조데이터!$H$1,참조데이터!$H$2,$G48+4*IF($G48=참조데이터!$H$1,1,-1)))</f>
        <v/>
      </c>
      <c r="P48" s="17"/>
      <c r="Q48" s="20"/>
      <c r="R48" s="24"/>
      <c r="S48" s="35" t="str">
        <f>IF($D48="","",IF($D48=참조데이터!$A$3,"",IFERROR(IF(VLOOKUP($D48,참조데이터!$A$1:$C$3,3,FALSE)="",1,VLOOKUP($D48,참조데이터!$A$1:$C$3,3,FALSE)),1)))</f>
        <v/>
      </c>
      <c r="T48" s="36" t="str">
        <f>IF($D48="","",IFERROR(VLOOKUP($D48,참조데이터!$A$9:$B$11,2,FALSE),""))</f>
        <v/>
      </c>
      <c r="U48" s="17"/>
    </row>
    <row r="49" spans="1:21" ht="22.05" customHeight="1" x14ac:dyDescent="0.4">
      <c r="A49" s="44"/>
      <c r="B49" s="48"/>
      <c r="C49" s="14"/>
      <c r="D49" s="15"/>
      <c r="E49" s="16"/>
      <c r="F49" s="17" t="str">
        <f>IFERROR(INDEX(참조데이터!$D$2:$D$6,MATCH($G49,참조데이터!$E$2:$E$6,0)),"")</f>
        <v/>
      </c>
      <c r="G49" s="23" t="str">
        <f>IF($D49="척도형",참조데이터!$E$2,"")</f>
        <v/>
      </c>
      <c r="H49" s="19" t="str">
        <f>IFERROR(INDEX(참조데이터!$D$2:$D$6,MATCH($I49,참조데이터!$E$2:$E$6,0)),"")</f>
        <v/>
      </c>
      <c r="I49" s="23" t="str">
        <f>IF($G49="","",MEDIAN(참조데이터!$H$1,참조데이터!$H$2,$G49+1*IF($G49=참조데이터!$H$1,1,-1)))</f>
        <v/>
      </c>
      <c r="J49" s="19" t="str">
        <f>IFERROR(INDEX(참조데이터!$D$2:$D$6,MATCH($K49,참조데이터!$E$2:$E$6,0)),"")</f>
        <v/>
      </c>
      <c r="K49" s="23" t="str">
        <f>IF($G49="","",MEDIAN(참조데이터!$H$1,참조데이터!$H$2,$G49+2*IF($G49=참조데이터!$H$1,1,-1)))</f>
        <v/>
      </c>
      <c r="L49" s="19" t="str">
        <f>IFERROR(INDEX(참조데이터!$D$2:$D$6,MATCH($M49,참조데이터!$E$2:$E$6,0)),"")</f>
        <v/>
      </c>
      <c r="M49" s="23" t="str">
        <f>IF($G49="","",MEDIAN(참조데이터!$H$1,참조데이터!$H$2,$G49+3*IF($G49=참조데이터!$H$1,1,-1)))</f>
        <v/>
      </c>
      <c r="N49" s="20" t="str">
        <f>IFERROR(INDEX(참조데이터!$D$2:$D$6,MATCH($O49,참조데이터!$E$2:$E$6,0)),"")</f>
        <v/>
      </c>
      <c r="O49" s="22" t="str">
        <f>IF($G49="","",MEDIAN(참조데이터!$H$1,참조데이터!$H$2,$G49+4*IF($G49=참조데이터!$H$1,1,-1)))</f>
        <v/>
      </c>
      <c r="P49" s="17"/>
      <c r="Q49" s="20"/>
      <c r="R49" s="24"/>
      <c r="S49" s="35" t="str">
        <f>IF($D49="","",IF($D49=참조데이터!$A$3,"",IFERROR(IF(VLOOKUP($D49,참조데이터!$A$1:$C$3,3,FALSE)="",1,VLOOKUP($D49,참조데이터!$A$1:$C$3,3,FALSE)),1)))</f>
        <v/>
      </c>
      <c r="T49" s="36" t="str">
        <f>IF($D49="","",IFERROR(VLOOKUP($D49,참조데이터!$A$9:$B$11,2,FALSE),""))</f>
        <v/>
      </c>
      <c r="U49" s="17"/>
    </row>
    <row r="50" spans="1:21" ht="22.05" customHeight="1" x14ac:dyDescent="0.4">
      <c r="A50" s="44"/>
      <c r="B50" s="48"/>
      <c r="C50" s="14"/>
      <c r="D50" s="15"/>
      <c r="E50" s="16"/>
      <c r="F50" s="17" t="str">
        <f>IFERROR(INDEX(참조데이터!$D$2:$D$6,MATCH($G50,참조데이터!$E$2:$E$6,0)),"")</f>
        <v/>
      </c>
      <c r="G50" s="23" t="str">
        <f>IF($D50="척도형",참조데이터!$E$2,"")</f>
        <v/>
      </c>
      <c r="H50" s="19" t="str">
        <f>IFERROR(INDEX(참조데이터!$D$2:$D$6,MATCH($I50,참조데이터!$E$2:$E$6,0)),"")</f>
        <v/>
      </c>
      <c r="I50" s="23" t="str">
        <f>IF($G50="","",MEDIAN(참조데이터!$H$1,참조데이터!$H$2,$G50+1*IF($G50=참조데이터!$H$1,1,-1)))</f>
        <v/>
      </c>
      <c r="J50" s="19" t="str">
        <f>IFERROR(INDEX(참조데이터!$D$2:$D$6,MATCH($K50,참조데이터!$E$2:$E$6,0)),"")</f>
        <v/>
      </c>
      <c r="K50" s="23" t="str">
        <f>IF($G50="","",MEDIAN(참조데이터!$H$1,참조데이터!$H$2,$G50+2*IF($G50=참조데이터!$H$1,1,-1)))</f>
        <v/>
      </c>
      <c r="L50" s="19" t="str">
        <f>IFERROR(INDEX(참조데이터!$D$2:$D$6,MATCH($M50,참조데이터!$E$2:$E$6,0)),"")</f>
        <v/>
      </c>
      <c r="M50" s="23" t="str">
        <f>IF($G50="","",MEDIAN(참조데이터!$H$1,참조데이터!$H$2,$G50+3*IF($G50=참조데이터!$H$1,1,-1)))</f>
        <v/>
      </c>
      <c r="N50" s="20" t="str">
        <f>IFERROR(INDEX(참조데이터!$D$2:$D$6,MATCH($O50,참조데이터!$E$2:$E$6,0)),"")</f>
        <v/>
      </c>
      <c r="O50" s="22" t="str">
        <f>IF($G50="","",MEDIAN(참조데이터!$H$1,참조데이터!$H$2,$G50+4*IF($G50=참조데이터!$H$1,1,-1)))</f>
        <v/>
      </c>
      <c r="P50" s="17"/>
      <c r="Q50" s="20"/>
      <c r="R50" s="24"/>
      <c r="S50" s="35" t="str">
        <f>IF($D50="","",IF($D50=참조데이터!$A$3,"",IFERROR(IF(VLOOKUP($D50,참조데이터!$A$1:$C$3,3,FALSE)="",1,VLOOKUP($D50,참조데이터!$A$1:$C$3,3,FALSE)),1)))</f>
        <v/>
      </c>
      <c r="T50" s="36" t="str">
        <f>IF($D50="","",IFERROR(VLOOKUP($D50,참조데이터!$A$9:$B$11,2,FALSE),""))</f>
        <v/>
      </c>
      <c r="U50" s="17"/>
    </row>
    <row r="51" spans="1:21" ht="22.05" customHeight="1" x14ac:dyDescent="0.4">
      <c r="A51" s="44"/>
      <c r="B51" s="48"/>
      <c r="C51" s="14"/>
      <c r="D51" s="15"/>
      <c r="E51" s="16"/>
      <c r="F51" s="17" t="str">
        <f>IFERROR(INDEX(참조데이터!$D$2:$D$6,MATCH($G51,참조데이터!$E$2:$E$6,0)),"")</f>
        <v/>
      </c>
      <c r="G51" s="23" t="str">
        <f>IF($D51="척도형",참조데이터!$E$2,"")</f>
        <v/>
      </c>
      <c r="H51" s="19" t="str">
        <f>IFERROR(INDEX(참조데이터!$D$2:$D$6,MATCH($I51,참조데이터!$E$2:$E$6,0)),"")</f>
        <v/>
      </c>
      <c r="I51" s="23" t="str">
        <f>IF($G51="","",MEDIAN(참조데이터!$H$1,참조데이터!$H$2,$G51+1*IF($G51=참조데이터!$H$1,1,-1)))</f>
        <v/>
      </c>
      <c r="J51" s="19" t="str">
        <f>IFERROR(INDEX(참조데이터!$D$2:$D$6,MATCH($K51,참조데이터!$E$2:$E$6,0)),"")</f>
        <v/>
      </c>
      <c r="K51" s="23" t="str">
        <f>IF($G51="","",MEDIAN(참조데이터!$H$1,참조데이터!$H$2,$G51+2*IF($G51=참조데이터!$H$1,1,-1)))</f>
        <v/>
      </c>
      <c r="L51" s="19" t="str">
        <f>IFERROR(INDEX(참조데이터!$D$2:$D$6,MATCH($M51,참조데이터!$E$2:$E$6,0)),"")</f>
        <v/>
      </c>
      <c r="M51" s="23" t="str">
        <f>IF($G51="","",MEDIAN(참조데이터!$H$1,참조데이터!$H$2,$G51+3*IF($G51=참조데이터!$H$1,1,-1)))</f>
        <v/>
      </c>
      <c r="N51" s="20" t="str">
        <f>IFERROR(INDEX(참조데이터!$D$2:$D$6,MATCH($O51,참조데이터!$E$2:$E$6,0)),"")</f>
        <v/>
      </c>
      <c r="O51" s="22" t="str">
        <f>IF($G51="","",MEDIAN(참조데이터!$H$1,참조데이터!$H$2,$G51+4*IF($G51=참조데이터!$H$1,1,-1)))</f>
        <v/>
      </c>
      <c r="P51" s="17"/>
      <c r="Q51" s="20"/>
      <c r="R51" s="24"/>
      <c r="S51" s="35" t="str">
        <f>IF($D51="","",IF($D51=참조데이터!$A$3,"",IFERROR(IF(VLOOKUP($D51,참조데이터!$A$1:$C$3,3,FALSE)="",1,VLOOKUP($D51,참조데이터!$A$1:$C$3,3,FALSE)),1)))</f>
        <v/>
      </c>
      <c r="T51" s="36" t="str">
        <f>IF($D51="","",IFERROR(VLOOKUP($D51,참조데이터!$A$9:$B$11,2,FALSE),""))</f>
        <v/>
      </c>
      <c r="U51" s="17"/>
    </row>
    <row r="52" spans="1:21" ht="22.05" customHeight="1" x14ac:dyDescent="0.4">
      <c r="A52" s="44"/>
      <c r="B52" s="48"/>
      <c r="C52" s="14"/>
      <c r="D52" s="15"/>
      <c r="E52" s="16"/>
      <c r="F52" s="17" t="str">
        <f>IFERROR(INDEX(참조데이터!$D$2:$D$6,MATCH($G52,참조데이터!$E$2:$E$6,0)),"")</f>
        <v/>
      </c>
      <c r="G52" s="23" t="str">
        <f>IF($D52="척도형",참조데이터!$E$2,"")</f>
        <v/>
      </c>
      <c r="H52" s="19" t="str">
        <f>IFERROR(INDEX(참조데이터!$D$2:$D$6,MATCH($I52,참조데이터!$E$2:$E$6,0)),"")</f>
        <v/>
      </c>
      <c r="I52" s="23" t="str">
        <f>IF($G52="","",MEDIAN(참조데이터!$H$1,참조데이터!$H$2,$G52+1*IF($G52=참조데이터!$H$1,1,-1)))</f>
        <v/>
      </c>
      <c r="J52" s="19" t="str">
        <f>IFERROR(INDEX(참조데이터!$D$2:$D$6,MATCH($K52,참조데이터!$E$2:$E$6,0)),"")</f>
        <v/>
      </c>
      <c r="K52" s="23" t="str">
        <f>IF($G52="","",MEDIAN(참조데이터!$H$1,참조데이터!$H$2,$G52+2*IF($G52=참조데이터!$H$1,1,-1)))</f>
        <v/>
      </c>
      <c r="L52" s="19" t="str">
        <f>IFERROR(INDEX(참조데이터!$D$2:$D$6,MATCH($M52,참조데이터!$E$2:$E$6,0)),"")</f>
        <v/>
      </c>
      <c r="M52" s="23" t="str">
        <f>IF($G52="","",MEDIAN(참조데이터!$H$1,참조데이터!$H$2,$G52+3*IF($G52=참조데이터!$H$1,1,-1)))</f>
        <v/>
      </c>
      <c r="N52" s="20" t="str">
        <f>IFERROR(INDEX(참조데이터!$D$2:$D$6,MATCH($O52,참조데이터!$E$2:$E$6,0)),"")</f>
        <v/>
      </c>
      <c r="O52" s="22" t="str">
        <f>IF($G52="","",MEDIAN(참조데이터!$H$1,참조데이터!$H$2,$G52+4*IF($G52=참조데이터!$H$1,1,-1)))</f>
        <v/>
      </c>
      <c r="P52" s="17"/>
      <c r="Q52" s="20"/>
      <c r="R52" s="24"/>
      <c r="S52" s="35" t="str">
        <f>IF($D52="","",IF($D52=참조데이터!$A$3,"",IFERROR(IF(VLOOKUP($D52,참조데이터!$A$1:$C$3,3,FALSE)="",1,VLOOKUP($D52,참조데이터!$A$1:$C$3,3,FALSE)),1)))</f>
        <v/>
      </c>
      <c r="T52" s="36" t="str">
        <f>IF($D52="","",IFERROR(VLOOKUP($D52,참조데이터!$A$9:$B$11,2,FALSE),""))</f>
        <v/>
      </c>
      <c r="U52" s="17"/>
    </row>
    <row r="53" spans="1:21" ht="22.05" customHeight="1" x14ac:dyDescent="0.4">
      <c r="A53" s="44"/>
      <c r="B53" s="48"/>
      <c r="C53" s="14"/>
      <c r="D53" s="15"/>
      <c r="E53" s="16"/>
      <c r="F53" s="17" t="str">
        <f>IFERROR(INDEX(참조데이터!$D$2:$D$6,MATCH($G53,참조데이터!$E$2:$E$6,0)),"")</f>
        <v/>
      </c>
      <c r="G53" s="23" t="str">
        <f>IF($D53="척도형",참조데이터!$E$2,"")</f>
        <v/>
      </c>
      <c r="H53" s="19" t="str">
        <f>IFERROR(INDEX(참조데이터!$D$2:$D$6,MATCH($I53,참조데이터!$E$2:$E$6,0)),"")</f>
        <v/>
      </c>
      <c r="I53" s="23" t="str">
        <f>IF($G53="","",MEDIAN(참조데이터!$H$1,참조데이터!$H$2,$G53+1*IF($G53=참조데이터!$H$1,1,-1)))</f>
        <v/>
      </c>
      <c r="J53" s="19" t="str">
        <f>IFERROR(INDEX(참조데이터!$D$2:$D$6,MATCH($K53,참조데이터!$E$2:$E$6,0)),"")</f>
        <v/>
      </c>
      <c r="K53" s="23" t="str">
        <f>IF($G53="","",MEDIAN(참조데이터!$H$1,참조데이터!$H$2,$G53+2*IF($G53=참조데이터!$H$1,1,-1)))</f>
        <v/>
      </c>
      <c r="L53" s="19" t="str">
        <f>IFERROR(INDEX(참조데이터!$D$2:$D$6,MATCH($M53,참조데이터!$E$2:$E$6,0)),"")</f>
        <v/>
      </c>
      <c r="M53" s="23" t="str">
        <f>IF($G53="","",MEDIAN(참조데이터!$H$1,참조데이터!$H$2,$G53+3*IF($G53=참조데이터!$H$1,1,-1)))</f>
        <v/>
      </c>
      <c r="N53" s="20" t="str">
        <f>IFERROR(INDEX(참조데이터!$D$2:$D$6,MATCH($O53,참조데이터!$E$2:$E$6,0)),"")</f>
        <v/>
      </c>
      <c r="O53" s="22" t="str">
        <f>IF($G53="","",MEDIAN(참조데이터!$H$1,참조데이터!$H$2,$G53+4*IF($G53=참조데이터!$H$1,1,-1)))</f>
        <v/>
      </c>
      <c r="P53" s="17"/>
      <c r="Q53" s="20"/>
      <c r="R53" s="24"/>
      <c r="S53" s="35" t="str">
        <f>IF($D53="","",IF($D53=참조데이터!$A$3,"",IFERROR(IF(VLOOKUP($D53,참조데이터!$A$1:$C$3,3,FALSE)="",1,VLOOKUP($D53,참조데이터!$A$1:$C$3,3,FALSE)),1)))</f>
        <v/>
      </c>
      <c r="T53" s="36" t="str">
        <f>IF($D53="","",IFERROR(VLOOKUP($D53,참조데이터!$A$9:$B$11,2,FALSE),""))</f>
        <v/>
      </c>
      <c r="U53" s="17"/>
    </row>
    <row r="54" spans="1:21" ht="22.05" customHeight="1" x14ac:dyDescent="0.4">
      <c r="A54" s="44"/>
      <c r="B54" s="48"/>
      <c r="C54" s="14"/>
      <c r="D54" s="15"/>
      <c r="E54" s="16"/>
      <c r="F54" s="17" t="str">
        <f>IFERROR(INDEX(참조데이터!$D$2:$D$6,MATCH($G54,참조데이터!$E$2:$E$6,0)),"")</f>
        <v/>
      </c>
      <c r="G54" s="23" t="str">
        <f>IF($D54="척도형",참조데이터!$E$2,"")</f>
        <v/>
      </c>
      <c r="H54" s="19" t="str">
        <f>IFERROR(INDEX(참조데이터!$D$2:$D$6,MATCH($I54,참조데이터!$E$2:$E$6,0)),"")</f>
        <v/>
      </c>
      <c r="I54" s="23" t="str">
        <f>IF($G54="","",MEDIAN(참조데이터!$H$1,참조데이터!$H$2,$G54+1*IF($G54=참조데이터!$H$1,1,-1)))</f>
        <v/>
      </c>
      <c r="J54" s="19" t="str">
        <f>IFERROR(INDEX(참조데이터!$D$2:$D$6,MATCH($K54,참조데이터!$E$2:$E$6,0)),"")</f>
        <v/>
      </c>
      <c r="K54" s="23" t="str">
        <f>IF($G54="","",MEDIAN(참조데이터!$H$1,참조데이터!$H$2,$G54+2*IF($G54=참조데이터!$H$1,1,-1)))</f>
        <v/>
      </c>
      <c r="L54" s="19" t="str">
        <f>IFERROR(INDEX(참조데이터!$D$2:$D$6,MATCH($M54,참조데이터!$E$2:$E$6,0)),"")</f>
        <v/>
      </c>
      <c r="M54" s="23" t="str">
        <f>IF($G54="","",MEDIAN(참조데이터!$H$1,참조데이터!$H$2,$G54+3*IF($G54=참조데이터!$H$1,1,-1)))</f>
        <v/>
      </c>
      <c r="N54" s="20" t="str">
        <f>IFERROR(INDEX(참조데이터!$D$2:$D$6,MATCH($O54,참조데이터!$E$2:$E$6,0)),"")</f>
        <v/>
      </c>
      <c r="O54" s="22" t="str">
        <f>IF($G54="","",MEDIAN(참조데이터!$H$1,참조데이터!$H$2,$G54+4*IF($G54=참조데이터!$H$1,1,-1)))</f>
        <v/>
      </c>
      <c r="P54" s="17"/>
      <c r="Q54" s="20"/>
      <c r="R54" s="24"/>
      <c r="S54" s="35" t="str">
        <f>IF($D54="","",IF($D54=참조데이터!$A$3,"",IFERROR(IF(VLOOKUP($D54,참조데이터!$A$1:$C$3,3,FALSE)="",1,VLOOKUP($D54,참조데이터!$A$1:$C$3,3,FALSE)),1)))</f>
        <v/>
      </c>
      <c r="T54" s="36" t="str">
        <f>IF($D54="","",IFERROR(VLOOKUP($D54,참조데이터!$A$9:$B$11,2,FALSE),""))</f>
        <v/>
      </c>
      <c r="U54" s="17"/>
    </row>
    <row r="55" spans="1:21" ht="22.05" customHeight="1" x14ac:dyDescent="0.4">
      <c r="A55" s="44"/>
      <c r="B55" s="48"/>
      <c r="C55" s="14"/>
      <c r="D55" s="15"/>
      <c r="E55" s="16"/>
      <c r="F55" s="17" t="str">
        <f>IFERROR(INDEX(참조데이터!$D$2:$D$6,MATCH($G55,참조데이터!$E$2:$E$6,0)),"")</f>
        <v/>
      </c>
      <c r="G55" s="23" t="str">
        <f>IF($D55="척도형",참조데이터!$E$2,"")</f>
        <v/>
      </c>
      <c r="H55" s="19" t="str">
        <f>IFERROR(INDEX(참조데이터!$D$2:$D$6,MATCH($I55,참조데이터!$E$2:$E$6,0)),"")</f>
        <v/>
      </c>
      <c r="I55" s="23" t="str">
        <f>IF($G55="","",MEDIAN(참조데이터!$H$1,참조데이터!$H$2,$G55+1*IF($G55=참조데이터!$H$1,1,-1)))</f>
        <v/>
      </c>
      <c r="J55" s="19" t="str">
        <f>IFERROR(INDEX(참조데이터!$D$2:$D$6,MATCH($K55,참조데이터!$E$2:$E$6,0)),"")</f>
        <v/>
      </c>
      <c r="K55" s="23" t="str">
        <f>IF($G55="","",MEDIAN(참조데이터!$H$1,참조데이터!$H$2,$G55+2*IF($G55=참조데이터!$H$1,1,-1)))</f>
        <v/>
      </c>
      <c r="L55" s="19" t="str">
        <f>IFERROR(INDEX(참조데이터!$D$2:$D$6,MATCH($M55,참조데이터!$E$2:$E$6,0)),"")</f>
        <v/>
      </c>
      <c r="M55" s="23" t="str">
        <f>IF($G55="","",MEDIAN(참조데이터!$H$1,참조데이터!$H$2,$G55+3*IF($G55=참조데이터!$H$1,1,-1)))</f>
        <v/>
      </c>
      <c r="N55" s="20" t="str">
        <f>IFERROR(INDEX(참조데이터!$D$2:$D$6,MATCH($O55,참조데이터!$E$2:$E$6,0)),"")</f>
        <v/>
      </c>
      <c r="O55" s="22" t="str">
        <f>IF($G55="","",MEDIAN(참조데이터!$H$1,참조데이터!$H$2,$G55+4*IF($G55=참조데이터!$H$1,1,-1)))</f>
        <v/>
      </c>
      <c r="P55" s="17"/>
      <c r="Q55" s="20"/>
      <c r="R55" s="24"/>
      <c r="S55" s="35" t="str">
        <f>IF($D55="","",IF($D55=참조데이터!$A$3,"",IFERROR(IF(VLOOKUP($D55,참조데이터!$A$1:$C$3,3,FALSE)="",1,VLOOKUP($D55,참조데이터!$A$1:$C$3,3,FALSE)),1)))</f>
        <v/>
      </c>
      <c r="T55" s="36" t="str">
        <f>IF($D55="","",IFERROR(VLOOKUP($D55,참조데이터!$A$9:$B$11,2,FALSE),""))</f>
        <v/>
      </c>
      <c r="U55" s="17"/>
    </row>
    <row r="56" spans="1:21" ht="22.05" customHeight="1" x14ac:dyDescent="0.4">
      <c r="A56" s="44"/>
      <c r="B56" s="48"/>
      <c r="C56" s="14"/>
      <c r="D56" s="15"/>
      <c r="E56" s="16"/>
      <c r="F56" s="17" t="str">
        <f>IFERROR(INDEX(참조데이터!$D$2:$D$6,MATCH($G56,참조데이터!$E$2:$E$6,0)),"")</f>
        <v/>
      </c>
      <c r="G56" s="23" t="str">
        <f>IF($D56="척도형",참조데이터!$E$2,"")</f>
        <v/>
      </c>
      <c r="H56" s="19" t="str">
        <f>IFERROR(INDEX(참조데이터!$D$2:$D$6,MATCH($I56,참조데이터!$E$2:$E$6,0)),"")</f>
        <v/>
      </c>
      <c r="I56" s="23" t="str">
        <f>IF($G56="","",MEDIAN(참조데이터!$H$1,참조데이터!$H$2,$G56+1*IF($G56=참조데이터!$H$1,1,-1)))</f>
        <v/>
      </c>
      <c r="J56" s="19" t="str">
        <f>IFERROR(INDEX(참조데이터!$D$2:$D$6,MATCH($K56,참조데이터!$E$2:$E$6,0)),"")</f>
        <v/>
      </c>
      <c r="K56" s="23" t="str">
        <f>IF($G56="","",MEDIAN(참조데이터!$H$1,참조데이터!$H$2,$G56+2*IF($G56=참조데이터!$H$1,1,-1)))</f>
        <v/>
      </c>
      <c r="L56" s="19" t="str">
        <f>IFERROR(INDEX(참조데이터!$D$2:$D$6,MATCH($M56,참조데이터!$E$2:$E$6,0)),"")</f>
        <v/>
      </c>
      <c r="M56" s="23" t="str">
        <f>IF($G56="","",MEDIAN(참조데이터!$H$1,참조데이터!$H$2,$G56+3*IF($G56=참조데이터!$H$1,1,-1)))</f>
        <v/>
      </c>
      <c r="N56" s="20" t="str">
        <f>IFERROR(INDEX(참조데이터!$D$2:$D$6,MATCH($O56,참조데이터!$E$2:$E$6,0)),"")</f>
        <v/>
      </c>
      <c r="O56" s="22" t="str">
        <f>IF($G56="","",MEDIAN(참조데이터!$H$1,참조데이터!$H$2,$G56+4*IF($G56=참조데이터!$H$1,1,-1)))</f>
        <v/>
      </c>
      <c r="P56" s="17"/>
      <c r="Q56" s="20"/>
      <c r="R56" s="24"/>
      <c r="S56" s="35" t="str">
        <f>IF($D56="","",IF($D56=참조데이터!$A$3,"",IFERROR(IF(VLOOKUP($D56,참조데이터!$A$1:$C$3,3,FALSE)="",1,VLOOKUP($D56,참조데이터!$A$1:$C$3,3,FALSE)),1)))</f>
        <v/>
      </c>
      <c r="T56" s="36" t="str">
        <f>IF($D56="","",IFERROR(VLOOKUP($D56,참조데이터!$A$9:$B$11,2,FALSE),""))</f>
        <v/>
      </c>
      <c r="U56" s="17"/>
    </row>
    <row r="57" spans="1:21" ht="22.05" customHeight="1" x14ac:dyDescent="0.4">
      <c r="A57" s="44"/>
      <c r="B57" s="48"/>
      <c r="C57" s="14"/>
      <c r="D57" s="15"/>
      <c r="E57" s="16"/>
      <c r="F57" s="17" t="str">
        <f>IFERROR(INDEX(참조데이터!$D$2:$D$6,MATCH($G57,참조데이터!$E$2:$E$6,0)),"")</f>
        <v/>
      </c>
      <c r="G57" s="23" t="str">
        <f>IF($D57="척도형",참조데이터!$E$2,"")</f>
        <v/>
      </c>
      <c r="H57" s="19" t="str">
        <f>IFERROR(INDEX(참조데이터!$D$2:$D$6,MATCH($I57,참조데이터!$E$2:$E$6,0)),"")</f>
        <v/>
      </c>
      <c r="I57" s="23" t="str">
        <f>IF($G57="","",MEDIAN(참조데이터!$H$1,참조데이터!$H$2,$G57+1*IF($G57=참조데이터!$H$1,1,-1)))</f>
        <v/>
      </c>
      <c r="J57" s="19" t="str">
        <f>IFERROR(INDEX(참조데이터!$D$2:$D$6,MATCH($K57,참조데이터!$E$2:$E$6,0)),"")</f>
        <v/>
      </c>
      <c r="K57" s="23" t="str">
        <f>IF($G57="","",MEDIAN(참조데이터!$H$1,참조데이터!$H$2,$G57+2*IF($G57=참조데이터!$H$1,1,-1)))</f>
        <v/>
      </c>
      <c r="L57" s="19" t="str">
        <f>IFERROR(INDEX(참조데이터!$D$2:$D$6,MATCH($M57,참조데이터!$E$2:$E$6,0)),"")</f>
        <v/>
      </c>
      <c r="M57" s="23" t="str">
        <f>IF($G57="","",MEDIAN(참조데이터!$H$1,참조데이터!$H$2,$G57+3*IF($G57=참조데이터!$H$1,1,-1)))</f>
        <v/>
      </c>
      <c r="N57" s="20" t="str">
        <f>IFERROR(INDEX(참조데이터!$D$2:$D$6,MATCH($O57,참조데이터!$E$2:$E$6,0)),"")</f>
        <v/>
      </c>
      <c r="O57" s="22" t="str">
        <f>IF($G57="","",MEDIAN(참조데이터!$H$1,참조데이터!$H$2,$G57+4*IF($G57=참조데이터!$H$1,1,-1)))</f>
        <v/>
      </c>
      <c r="P57" s="17"/>
      <c r="Q57" s="20"/>
      <c r="R57" s="24"/>
      <c r="S57" s="35" t="str">
        <f>IF($D57="","",IF($D57=참조데이터!$A$3,"",IFERROR(IF(VLOOKUP($D57,참조데이터!$A$1:$C$3,3,FALSE)="",1,VLOOKUP($D57,참조데이터!$A$1:$C$3,3,FALSE)),1)))</f>
        <v/>
      </c>
      <c r="T57" s="36" t="str">
        <f>IF($D57="","",IFERROR(VLOOKUP($D57,참조데이터!$A$9:$B$11,2,FALSE),""))</f>
        <v/>
      </c>
      <c r="U57" s="17"/>
    </row>
    <row r="58" spans="1:21" ht="22.05" customHeight="1" x14ac:dyDescent="0.4">
      <c r="A58" s="44"/>
      <c r="B58" s="48"/>
      <c r="C58" s="14"/>
      <c r="D58" s="15"/>
      <c r="E58" s="16"/>
      <c r="F58" s="17" t="str">
        <f>IFERROR(INDEX(참조데이터!$D$2:$D$6,MATCH($G58,참조데이터!$E$2:$E$6,0)),"")</f>
        <v/>
      </c>
      <c r="G58" s="23" t="str">
        <f>IF($D58="척도형",참조데이터!$E$2,"")</f>
        <v/>
      </c>
      <c r="H58" s="19" t="str">
        <f>IFERROR(INDEX(참조데이터!$D$2:$D$6,MATCH($I58,참조데이터!$E$2:$E$6,0)),"")</f>
        <v/>
      </c>
      <c r="I58" s="23" t="str">
        <f>IF($G58="","",MEDIAN(참조데이터!$H$1,참조데이터!$H$2,$G58+1*IF($G58=참조데이터!$H$1,1,-1)))</f>
        <v/>
      </c>
      <c r="J58" s="19" t="str">
        <f>IFERROR(INDEX(참조데이터!$D$2:$D$6,MATCH($K58,참조데이터!$E$2:$E$6,0)),"")</f>
        <v/>
      </c>
      <c r="K58" s="23" t="str">
        <f>IF($G58="","",MEDIAN(참조데이터!$H$1,참조데이터!$H$2,$G58+2*IF($G58=참조데이터!$H$1,1,-1)))</f>
        <v/>
      </c>
      <c r="L58" s="19" t="str">
        <f>IFERROR(INDEX(참조데이터!$D$2:$D$6,MATCH($M58,참조데이터!$E$2:$E$6,0)),"")</f>
        <v/>
      </c>
      <c r="M58" s="23" t="str">
        <f>IF($G58="","",MEDIAN(참조데이터!$H$1,참조데이터!$H$2,$G58+3*IF($G58=참조데이터!$H$1,1,-1)))</f>
        <v/>
      </c>
      <c r="N58" s="20" t="str">
        <f>IFERROR(INDEX(참조데이터!$D$2:$D$6,MATCH($O58,참조데이터!$E$2:$E$6,0)),"")</f>
        <v/>
      </c>
      <c r="O58" s="22" t="str">
        <f>IF($G58="","",MEDIAN(참조데이터!$H$1,참조데이터!$H$2,$G58+4*IF($G58=참조데이터!$H$1,1,-1)))</f>
        <v/>
      </c>
      <c r="P58" s="17"/>
      <c r="Q58" s="20"/>
      <c r="R58" s="24"/>
      <c r="S58" s="35" t="str">
        <f>IF($D58="","",IF($D58=참조데이터!$A$3,"",IFERROR(IF(VLOOKUP($D58,참조데이터!$A$1:$C$3,3,FALSE)="",1,VLOOKUP($D58,참조데이터!$A$1:$C$3,3,FALSE)),1)))</f>
        <v/>
      </c>
      <c r="T58" s="36" t="str">
        <f>IF($D58="","",IFERROR(VLOOKUP($D58,참조데이터!$A$9:$B$11,2,FALSE),""))</f>
        <v/>
      </c>
      <c r="U58" s="17"/>
    </row>
    <row r="59" spans="1:21" ht="22.05" customHeight="1" x14ac:dyDescent="0.4">
      <c r="A59" s="44"/>
      <c r="B59" s="48"/>
      <c r="C59" s="14"/>
      <c r="D59" s="15"/>
      <c r="E59" s="16"/>
      <c r="F59" s="17" t="str">
        <f>IFERROR(INDEX(참조데이터!$D$2:$D$6,MATCH($G59,참조데이터!$E$2:$E$6,0)),"")</f>
        <v/>
      </c>
      <c r="G59" s="23" t="str">
        <f>IF($D59="척도형",참조데이터!$E$2,"")</f>
        <v/>
      </c>
      <c r="H59" s="19" t="str">
        <f>IFERROR(INDEX(참조데이터!$D$2:$D$6,MATCH($I59,참조데이터!$E$2:$E$6,0)),"")</f>
        <v/>
      </c>
      <c r="I59" s="23" t="str">
        <f>IF($G59="","",MEDIAN(참조데이터!$H$1,참조데이터!$H$2,$G59+1*IF($G59=참조데이터!$H$1,1,-1)))</f>
        <v/>
      </c>
      <c r="J59" s="19" t="str">
        <f>IFERROR(INDEX(참조데이터!$D$2:$D$6,MATCH($K59,참조데이터!$E$2:$E$6,0)),"")</f>
        <v/>
      </c>
      <c r="K59" s="23" t="str">
        <f>IF($G59="","",MEDIAN(참조데이터!$H$1,참조데이터!$H$2,$G59+2*IF($G59=참조데이터!$H$1,1,-1)))</f>
        <v/>
      </c>
      <c r="L59" s="19" t="str">
        <f>IFERROR(INDEX(참조데이터!$D$2:$D$6,MATCH($M59,참조데이터!$E$2:$E$6,0)),"")</f>
        <v/>
      </c>
      <c r="M59" s="23" t="str">
        <f>IF($G59="","",MEDIAN(참조데이터!$H$1,참조데이터!$H$2,$G59+3*IF($G59=참조데이터!$H$1,1,-1)))</f>
        <v/>
      </c>
      <c r="N59" s="20" t="str">
        <f>IFERROR(INDEX(참조데이터!$D$2:$D$6,MATCH($O59,참조데이터!$E$2:$E$6,0)),"")</f>
        <v/>
      </c>
      <c r="O59" s="22" t="str">
        <f>IF($G59="","",MEDIAN(참조데이터!$H$1,참조데이터!$H$2,$G59+4*IF($G59=참조데이터!$H$1,1,-1)))</f>
        <v/>
      </c>
      <c r="P59" s="17"/>
      <c r="Q59" s="20"/>
      <c r="R59" s="24"/>
      <c r="S59" s="35" t="str">
        <f>IF($D59="","",IF($D59=참조데이터!$A$3,"",IFERROR(IF(VLOOKUP($D59,참조데이터!$A$1:$C$3,3,FALSE)="",1,VLOOKUP($D59,참조데이터!$A$1:$C$3,3,FALSE)),1)))</f>
        <v/>
      </c>
      <c r="T59" s="36" t="str">
        <f>IF($D59="","",IFERROR(VLOOKUP($D59,참조데이터!$A$9:$B$11,2,FALSE),""))</f>
        <v/>
      </c>
      <c r="U59" s="17"/>
    </row>
    <row r="60" spans="1:21" ht="22.05" customHeight="1" x14ac:dyDescent="0.4">
      <c r="A60" s="44"/>
      <c r="B60" s="48"/>
      <c r="C60" s="14"/>
      <c r="D60" s="15"/>
      <c r="E60" s="16"/>
      <c r="F60" s="17" t="str">
        <f>IFERROR(INDEX(참조데이터!$D$2:$D$6,MATCH($G60,참조데이터!$E$2:$E$6,0)),"")</f>
        <v/>
      </c>
      <c r="G60" s="23" t="str">
        <f>IF($D60="척도형",참조데이터!$E$2,"")</f>
        <v/>
      </c>
      <c r="H60" s="19" t="str">
        <f>IFERROR(INDEX(참조데이터!$D$2:$D$6,MATCH($I60,참조데이터!$E$2:$E$6,0)),"")</f>
        <v/>
      </c>
      <c r="I60" s="23" t="str">
        <f>IF($G60="","",MEDIAN(참조데이터!$H$1,참조데이터!$H$2,$G60+1*IF($G60=참조데이터!$H$1,1,-1)))</f>
        <v/>
      </c>
      <c r="J60" s="19" t="str">
        <f>IFERROR(INDEX(참조데이터!$D$2:$D$6,MATCH($K60,참조데이터!$E$2:$E$6,0)),"")</f>
        <v/>
      </c>
      <c r="K60" s="23" t="str">
        <f>IF($G60="","",MEDIAN(참조데이터!$H$1,참조데이터!$H$2,$G60+2*IF($G60=참조데이터!$H$1,1,-1)))</f>
        <v/>
      </c>
      <c r="L60" s="19" t="str">
        <f>IFERROR(INDEX(참조데이터!$D$2:$D$6,MATCH($M60,참조데이터!$E$2:$E$6,0)),"")</f>
        <v/>
      </c>
      <c r="M60" s="23" t="str">
        <f>IF($G60="","",MEDIAN(참조데이터!$H$1,참조데이터!$H$2,$G60+3*IF($G60=참조데이터!$H$1,1,-1)))</f>
        <v/>
      </c>
      <c r="N60" s="20" t="str">
        <f>IFERROR(INDEX(참조데이터!$D$2:$D$6,MATCH($O60,참조데이터!$E$2:$E$6,0)),"")</f>
        <v/>
      </c>
      <c r="O60" s="22" t="str">
        <f>IF($G60="","",MEDIAN(참조데이터!$H$1,참조데이터!$H$2,$G60+4*IF($G60=참조데이터!$H$1,1,-1)))</f>
        <v/>
      </c>
      <c r="P60" s="17"/>
      <c r="Q60" s="20"/>
      <c r="R60" s="24"/>
      <c r="S60" s="35" t="str">
        <f>IF($D60="","",IF($D60=참조데이터!$A$3,"",IFERROR(IF(VLOOKUP($D60,참조데이터!$A$1:$C$3,3,FALSE)="",1,VLOOKUP($D60,참조데이터!$A$1:$C$3,3,FALSE)),1)))</f>
        <v/>
      </c>
      <c r="T60" s="36" t="str">
        <f>IF($D60="","",IFERROR(VLOOKUP($D60,참조데이터!$A$9:$B$11,2,FALSE),""))</f>
        <v/>
      </c>
      <c r="U60" s="17"/>
    </row>
    <row r="61" spans="1:21" ht="22.05" customHeight="1" x14ac:dyDescent="0.4">
      <c r="A61" s="44"/>
      <c r="B61" s="48"/>
      <c r="C61" s="14"/>
      <c r="D61" s="15"/>
      <c r="E61" s="16"/>
      <c r="F61" s="17" t="str">
        <f>IFERROR(INDEX(참조데이터!$D$2:$D$6,MATCH($G61,참조데이터!$E$2:$E$6,0)),"")</f>
        <v/>
      </c>
      <c r="G61" s="23" t="str">
        <f>IF($D61="척도형",참조데이터!$E$2,"")</f>
        <v/>
      </c>
      <c r="H61" s="19" t="str">
        <f>IFERROR(INDEX(참조데이터!$D$2:$D$6,MATCH($I61,참조데이터!$E$2:$E$6,0)),"")</f>
        <v/>
      </c>
      <c r="I61" s="23" t="str">
        <f>IF($G61="","",MEDIAN(참조데이터!$H$1,참조데이터!$H$2,$G61+1*IF($G61=참조데이터!$H$1,1,-1)))</f>
        <v/>
      </c>
      <c r="J61" s="19" t="str">
        <f>IFERROR(INDEX(참조데이터!$D$2:$D$6,MATCH($K61,참조데이터!$E$2:$E$6,0)),"")</f>
        <v/>
      </c>
      <c r="K61" s="23" t="str">
        <f>IF($G61="","",MEDIAN(참조데이터!$H$1,참조데이터!$H$2,$G61+2*IF($G61=참조데이터!$H$1,1,-1)))</f>
        <v/>
      </c>
      <c r="L61" s="19" t="str">
        <f>IFERROR(INDEX(참조데이터!$D$2:$D$6,MATCH($M61,참조데이터!$E$2:$E$6,0)),"")</f>
        <v/>
      </c>
      <c r="M61" s="23" t="str">
        <f>IF($G61="","",MEDIAN(참조데이터!$H$1,참조데이터!$H$2,$G61+3*IF($G61=참조데이터!$H$1,1,-1)))</f>
        <v/>
      </c>
      <c r="N61" s="20" t="str">
        <f>IFERROR(INDEX(참조데이터!$D$2:$D$6,MATCH($O61,참조데이터!$E$2:$E$6,0)),"")</f>
        <v/>
      </c>
      <c r="O61" s="22" t="str">
        <f>IF($G61="","",MEDIAN(참조데이터!$H$1,참조데이터!$H$2,$G61+4*IF($G61=참조데이터!$H$1,1,-1)))</f>
        <v/>
      </c>
      <c r="P61" s="17"/>
      <c r="Q61" s="20"/>
      <c r="R61" s="24"/>
      <c r="S61" s="35" t="str">
        <f>IF($D61="","",IF($D61=참조데이터!$A$3,"",IFERROR(IF(VLOOKUP($D61,참조데이터!$A$1:$C$3,3,FALSE)="",1,VLOOKUP($D61,참조데이터!$A$1:$C$3,3,FALSE)),1)))</f>
        <v/>
      </c>
      <c r="T61" s="36" t="str">
        <f>IF($D61="","",IFERROR(VLOOKUP($D61,참조데이터!$A$9:$B$11,2,FALSE),""))</f>
        <v/>
      </c>
      <c r="U61" s="17"/>
    </row>
    <row r="62" spans="1:21" ht="22.05" customHeight="1" x14ac:dyDescent="0.4">
      <c r="A62" s="44"/>
      <c r="B62" s="48"/>
      <c r="C62" s="14"/>
      <c r="D62" s="15"/>
      <c r="E62" s="16"/>
      <c r="F62" s="17" t="str">
        <f>IFERROR(INDEX(참조데이터!$D$2:$D$6,MATCH($G62,참조데이터!$E$2:$E$6,0)),"")</f>
        <v/>
      </c>
      <c r="G62" s="23" t="str">
        <f>IF($D62="척도형",참조데이터!$E$2,"")</f>
        <v/>
      </c>
      <c r="H62" s="19" t="str">
        <f>IFERROR(INDEX(참조데이터!$D$2:$D$6,MATCH($I62,참조데이터!$E$2:$E$6,0)),"")</f>
        <v/>
      </c>
      <c r="I62" s="23" t="str">
        <f>IF($G62="","",MEDIAN(참조데이터!$H$1,참조데이터!$H$2,$G62+1*IF($G62=참조데이터!$H$1,1,-1)))</f>
        <v/>
      </c>
      <c r="J62" s="19" t="str">
        <f>IFERROR(INDEX(참조데이터!$D$2:$D$6,MATCH($K62,참조데이터!$E$2:$E$6,0)),"")</f>
        <v/>
      </c>
      <c r="K62" s="23" t="str">
        <f>IF($G62="","",MEDIAN(참조데이터!$H$1,참조데이터!$H$2,$G62+2*IF($G62=참조데이터!$H$1,1,-1)))</f>
        <v/>
      </c>
      <c r="L62" s="19" t="str">
        <f>IFERROR(INDEX(참조데이터!$D$2:$D$6,MATCH($M62,참조데이터!$E$2:$E$6,0)),"")</f>
        <v/>
      </c>
      <c r="M62" s="23" t="str">
        <f>IF($G62="","",MEDIAN(참조데이터!$H$1,참조데이터!$H$2,$G62+3*IF($G62=참조데이터!$H$1,1,-1)))</f>
        <v/>
      </c>
      <c r="N62" s="20" t="str">
        <f>IFERROR(INDEX(참조데이터!$D$2:$D$6,MATCH($O62,참조데이터!$E$2:$E$6,0)),"")</f>
        <v/>
      </c>
      <c r="O62" s="22" t="str">
        <f>IF($G62="","",MEDIAN(참조데이터!$H$1,참조데이터!$H$2,$G62+4*IF($G62=참조데이터!$H$1,1,-1)))</f>
        <v/>
      </c>
      <c r="P62" s="17"/>
      <c r="Q62" s="20"/>
      <c r="R62" s="24"/>
      <c r="S62" s="35" t="str">
        <f>IF($D62="","",IF($D62=참조데이터!$A$3,"",IFERROR(IF(VLOOKUP($D62,참조데이터!$A$1:$C$3,3,FALSE)="",1,VLOOKUP($D62,참조데이터!$A$1:$C$3,3,FALSE)),1)))</f>
        <v/>
      </c>
      <c r="T62" s="36" t="str">
        <f>IF($D62="","",IFERROR(VLOOKUP($D62,참조데이터!$A$9:$B$11,2,FALSE),""))</f>
        <v/>
      </c>
      <c r="U62" s="17"/>
    </row>
    <row r="63" spans="1:21" ht="22.05" customHeight="1" x14ac:dyDescent="0.4">
      <c r="A63" s="44"/>
      <c r="B63" s="48"/>
      <c r="C63" s="14"/>
      <c r="D63" s="15"/>
      <c r="E63" s="16"/>
      <c r="F63" s="17" t="str">
        <f>IFERROR(INDEX(참조데이터!$D$2:$D$6,MATCH($G63,참조데이터!$E$2:$E$6,0)),"")</f>
        <v/>
      </c>
      <c r="G63" s="23" t="str">
        <f>IF($D63="척도형",참조데이터!$E$2,"")</f>
        <v/>
      </c>
      <c r="H63" s="19" t="str">
        <f>IFERROR(INDEX(참조데이터!$D$2:$D$6,MATCH($I63,참조데이터!$E$2:$E$6,0)),"")</f>
        <v/>
      </c>
      <c r="I63" s="23" t="str">
        <f>IF($G63="","",MEDIAN(참조데이터!$H$1,참조데이터!$H$2,$G63+1*IF($G63=참조데이터!$H$1,1,-1)))</f>
        <v/>
      </c>
      <c r="J63" s="19" t="str">
        <f>IFERROR(INDEX(참조데이터!$D$2:$D$6,MATCH($K63,참조데이터!$E$2:$E$6,0)),"")</f>
        <v/>
      </c>
      <c r="K63" s="23" t="str">
        <f>IF($G63="","",MEDIAN(참조데이터!$H$1,참조데이터!$H$2,$G63+2*IF($G63=참조데이터!$H$1,1,-1)))</f>
        <v/>
      </c>
      <c r="L63" s="19" t="str">
        <f>IFERROR(INDEX(참조데이터!$D$2:$D$6,MATCH($M63,참조데이터!$E$2:$E$6,0)),"")</f>
        <v/>
      </c>
      <c r="M63" s="23" t="str">
        <f>IF($G63="","",MEDIAN(참조데이터!$H$1,참조데이터!$H$2,$G63+3*IF($G63=참조데이터!$H$1,1,-1)))</f>
        <v/>
      </c>
      <c r="N63" s="20" t="str">
        <f>IFERROR(INDEX(참조데이터!$D$2:$D$6,MATCH($O63,참조데이터!$E$2:$E$6,0)),"")</f>
        <v/>
      </c>
      <c r="O63" s="22" t="str">
        <f>IF($G63="","",MEDIAN(참조데이터!$H$1,참조데이터!$H$2,$G63+4*IF($G63=참조데이터!$H$1,1,-1)))</f>
        <v/>
      </c>
      <c r="P63" s="17"/>
      <c r="Q63" s="20"/>
      <c r="R63" s="24"/>
      <c r="S63" s="35" t="str">
        <f>IF($D63="","",IF($D63=참조데이터!$A$3,"",IFERROR(IF(VLOOKUP($D63,참조데이터!$A$1:$C$3,3,FALSE)="",1,VLOOKUP($D63,참조데이터!$A$1:$C$3,3,FALSE)),1)))</f>
        <v/>
      </c>
      <c r="T63" s="36" t="str">
        <f>IF($D63="","",IFERROR(VLOOKUP($D63,참조데이터!$A$9:$B$11,2,FALSE),""))</f>
        <v/>
      </c>
      <c r="U63" s="17"/>
    </row>
    <row r="64" spans="1:21" ht="22.05" customHeight="1" x14ac:dyDescent="0.4">
      <c r="A64" s="44"/>
      <c r="B64" s="48"/>
      <c r="C64" s="14"/>
      <c r="D64" s="15"/>
      <c r="E64" s="16"/>
      <c r="F64" s="17" t="str">
        <f>IFERROR(INDEX(참조데이터!$D$2:$D$6,MATCH($G64,참조데이터!$E$2:$E$6,0)),"")</f>
        <v/>
      </c>
      <c r="G64" s="23" t="str">
        <f>IF($D64="척도형",참조데이터!$E$2,"")</f>
        <v/>
      </c>
      <c r="H64" s="19" t="str">
        <f>IFERROR(INDEX(참조데이터!$D$2:$D$6,MATCH($I64,참조데이터!$E$2:$E$6,0)),"")</f>
        <v/>
      </c>
      <c r="I64" s="23" t="str">
        <f>IF($G64="","",MEDIAN(참조데이터!$H$1,참조데이터!$H$2,$G64+1*IF($G64=참조데이터!$H$1,1,-1)))</f>
        <v/>
      </c>
      <c r="J64" s="19" t="str">
        <f>IFERROR(INDEX(참조데이터!$D$2:$D$6,MATCH($K64,참조데이터!$E$2:$E$6,0)),"")</f>
        <v/>
      </c>
      <c r="K64" s="23" t="str">
        <f>IF($G64="","",MEDIAN(참조데이터!$H$1,참조데이터!$H$2,$G64+2*IF($G64=참조데이터!$H$1,1,-1)))</f>
        <v/>
      </c>
      <c r="L64" s="19" t="str">
        <f>IFERROR(INDEX(참조데이터!$D$2:$D$6,MATCH($M64,참조데이터!$E$2:$E$6,0)),"")</f>
        <v/>
      </c>
      <c r="M64" s="23" t="str">
        <f>IF($G64="","",MEDIAN(참조데이터!$H$1,참조데이터!$H$2,$G64+3*IF($G64=참조데이터!$H$1,1,-1)))</f>
        <v/>
      </c>
      <c r="N64" s="20" t="str">
        <f>IFERROR(INDEX(참조데이터!$D$2:$D$6,MATCH($O64,참조데이터!$E$2:$E$6,0)),"")</f>
        <v/>
      </c>
      <c r="O64" s="22" t="str">
        <f>IF($G64="","",MEDIAN(참조데이터!$H$1,참조데이터!$H$2,$G64+4*IF($G64=참조데이터!$H$1,1,-1)))</f>
        <v/>
      </c>
      <c r="P64" s="17"/>
      <c r="Q64" s="20"/>
      <c r="R64" s="24"/>
      <c r="S64" s="35" t="str">
        <f>IF($D64="","",IF($D64=참조데이터!$A$3,"",IFERROR(IF(VLOOKUP($D64,참조데이터!$A$1:$C$3,3,FALSE)="",1,VLOOKUP($D64,참조데이터!$A$1:$C$3,3,FALSE)),1)))</f>
        <v/>
      </c>
      <c r="T64" s="36" t="str">
        <f>IF($D64="","",IFERROR(VLOOKUP($D64,참조데이터!$A$9:$B$11,2,FALSE),""))</f>
        <v/>
      </c>
      <c r="U64" s="17"/>
    </row>
    <row r="65" spans="1:21" ht="22.05" customHeight="1" x14ac:dyDescent="0.4">
      <c r="A65" s="44"/>
      <c r="B65" s="48"/>
      <c r="C65" s="14"/>
      <c r="D65" s="15"/>
      <c r="E65" s="16"/>
      <c r="F65" s="17" t="str">
        <f>IFERROR(INDEX(참조데이터!$D$2:$D$6,MATCH($G65,참조데이터!$E$2:$E$6,0)),"")</f>
        <v/>
      </c>
      <c r="G65" s="23" t="str">
        <f>IF($D65="척도형",참조데이터!$E$2,"")</f>
        <v/>
      </c>
      <c r="H65" s="19" t="str">
        <f>IFERROR(INDEX(참조데이터!$D$2:$D$6,MATCH($I65,참조데이터!$E$2:$E$6,0)),"")</f>
        <v/>
      </c>
      <c r="I65" s="23" t="str">
        <f>IF($G65="","",MEDIAN(참조데이터!$H$1,참조데이터!$H$2,$G65+1*IF($G65=참조데이터!$H$1,1,-1)))</f>
        <v/>
      </c>
      <c r="J65" s="19" t="str">
        <f>IFERROR(INDEX(참조데이터!$D$2:$D$6,MATCH($K65,참조데이터!$E$2:$E$6,0)),"")</f>
        <v/>
      </c>
      <c r="K65" s="23" t="str">
        <f>IF($G65="","",MEDIAN(참조데이터!$H$1,참조데이터!$H$2,$G65+2*IF($G65=참조데이터!$H$1,1,-1)))</f>
        <v/>
      </c>
      <c r="L65" s="19" t="str">
        <f>IFERROR(INDEX(참조데이터!$D$2:$D$6,MATCH($M65,참조데이터!$E$2:$E$6,0)),"")</f>
        <v/>
      </c>
      <c r="M65" s="23" t="str">
        <f>IF($G65="","",MEDIAN(참조데이터!$H$1,참조데이터!$H$2,$G65+3*IF($G65=참조데이터!$H$1,1,-1)))</f>
        <v/>
      </c>
      <c r="N65" s="20" t="str">
        <f>IFERROR(INDEX(참조데이터!$D$2:$D$6,MATCH($O65,참조데이터!$E$2:$E$6,0)),"")</f>
        <v/>
      </c>
      <c r="O65" s="22" t="str">
        <f>IF($G65="","",MEDIAN(참조데이터!$H$1,참조데이터!$H$2,$G65+4*IF($G65=참조데이터!$H$1,1,-1)))</f>
        <v/>
      </c>
      <c r="P65" s="17"/>
      <c r="Q65" s="20"/>
      <c r="R65" s="24"/>
      <c r="S65" s="35" t="str">
        <f>IF($D65="","",IF($D65=참조데이터!$A$3,"",IFERROR(IF(VLOOKUP($D65,참조데이터!$A$1:$C$3,3,FALSE)="",1,VLOOKUP($D65,참조데이터!$A$1:$C$3,3,FALSE)),1)))</f>
        <v/>
      </c>
      <c r="T65" s="36" t="str">
        <f>IF($D65="","",IFERROR(VLOOKUP($D65,참조데이터!$A$9:$B$11,2,FALSE),""))</f>
        <v/>
      </c>
      <c r="U65" s="17"/>
    </row>
    <row r="66" spans="1:21" ht="22.05" customHeight="1" x14ac:dyDescent="0.4">
      <c r="A66" s="44"/>
      <c r="B66" s="48"/>
      <c r="C66" s="14"/>
      <c r="D66" s="15"/>
      <c r="E66" s="16"/>
      <c r="F66" s="17" t="str">
        <f>IFERROR(INDEX(참조데이터!$D$2:$D$6,MATCH($G66,참조데이터!$E$2:$E$6,0)),"")</f>
        <v/>
      </c>
      <c r="G66" s="23" t="str">
        <f>IF($D66="척도형",참조데이터!$E$2,"")</f>
        <v/>
      </c>
      <c r="H66" s="19" t="str">
        <f>IFERROR(INDEX(참조데이터!$D$2:$D$6,MATCH($I66,참조데이터!$E$2:$E$6,0)),"")</f>
        <v/>
      </c>
      <c r="I66" s="23" t="str">
        <f>IF($G66="","",MEDIAN(참조데이터!$H$1,참조데이터!$H$2,$G66+1*IF($G66=참조데이터!$H$1,1,-1)))</f>
        <v/>
      </c>
      <c r="J66" s="19" t="str">
        <f>IFERROR(INDEX(참조데이터!$D$2:$D$6,MATCH($K66,참조데이터!$E$2:$E$6,0)),"")</f>
        <v/>
      </c>
      <c r="K66" s="23" t="str">
        <f>IF($G66="","",MEDIAN(참조데이터!$H$1,참조데이터!$H$2,$G66+2*IF($G66=참조데이터!$H$1,1,-1)))</f>
        <v/>
      </c>
      <c r="L66" s="19" t="str">
        <f>IFERROR(INDEX(참조데이터!$D$2:$D$6,MATCH($M66,참조데이터!$E$2:$E$6,0)),"")</f>
        <v/>
      </c>
      <c r="M66" s="23" t="str">
        <f>IF($G66="","",MEDIAN(참조데이터!$H$1,참조데이터!$H$2,$G66+3*IF($G66=참조데이터!$H$1,1,-1)))</f>
        <v/>
      </c>
      <c r="N66" s="20" t="str">
        <f>IFERROR(INDEX(참조데이터!$D$2:$D$6,MATCH($O66,참조데이터!$E$2:$E$6,0)),"")</f>
        <v/>
      </c>
      <c r="O66" s="22" t="str">
        <f>IF($G66="","",MEDIAN(참조데이터!$H$1,참조데이터!$H$2,$G66+4*IF($G66=참조데이터!$H$1,1,-1)))</f>
        <v/>
      </c>
      <c r="P66" s="17"/>
      <c r="Q66" s="20"/>
      <c r="R66" s="24"/>
      <c r="S66" s="35" t="str">
        <f>IF($D66="","",IF($D66=참조데이터!$A$3,"",IFERROR(IF(VLOOKUP($D66,참조데이터!$A$1:$C$3,3,FALSE)="",1,VLOOKUP($D66,참조데이터!$A$1:$C$3,3,FALSE)),1)))</f>
        <v/>
      </c>
      <c r="T66" s="36" t="str">
        <f>IF($D66="","",IFERROR(VLOOKUP($D66,참조데이터!$A$9:$B$11,2,FALSE),""))</f>
        <v/>
      </c>
      <c r="U66" s="17"/>
    </row>
    <row r="67" spans="1:21" ht="22.05" customHeight="1" x14ac:dyDescent="0.4">
      <c r="A67" s="44"/>
      <c r="B67" s="48"/>
      <c r="C67" s="14"/>
      <c r="D67" s="15"/>
      <c r="E67" s="16"/>
      <c r="F67" s="17" t="str">
        <f>IFERROR(INDEX(참조데이터!$D$2:$D$6,MATCH($G67,참조데이터!$E$2:$E$6,0)),"")</f>
        <v/>
      </c>
      <c r="G67" s="23" t="str">
        <f>IF($D67="척도형",참조데이터!$E$2,"")</f>
        <v/>
      </c>
      <c r="H67" s="19" t="str">
        <f>IFERROR(INDEX(참조데이터!$D$2:$D$6,MATCH($I67,참조데이터!$E$2:$E$6,0)),"")</f>
        <v/>
      </c>
      <c r="I67" s="23" t="str">
        <f>IF($G67="","",MEDIAN(참조데이터!$H$1,참조데이터!$H$2,$G67+1*IF($G67=참조데이터!$H$1,1,-1)))</f>
        <v/>
      </c>
      <c r="J67" s="19" t="str">
        <f>IFERROR(INDEX(참조데이터!$D$2:$D$6,MATCH($K67,참조데이터!$E$2:$E$6,0)),"")</f>
        <v/>
      </c>
      <c r="K67" s="23" t="str">
        <f>IF($G67="","",MEDIAN(참조데이터!$H$1,참조데이터!$H$2,$G67+2*IF($G67=참조데이터!$H$1,1,-1)))</f>
        <v/>
      </c>
      <c r="L67" s="19" t="str">
        <f>IFERROR(INDEX(참조데이터!$D$2:$D$6,MATCH($M67,참조데이터!$E$2:$E$6,0)),"")</f>
        <v/>
      </c>
      <c r="M67" s="23" t="str">
        <f>IF($G67="","",MEDIAN(참조데이터!$H$1,참조데이터!$H$2,$G67+3*IF($G67=참조데이터!$H$1,1,-1)))</f>
        <v/>
      </c>
      <c r="N67" s="20" t="str">
        <f>IFERROR(INDEX(참조데이터!$D$2:$D$6,MATCH($O67,참조데이터!$E$2:$E$6,0)),"")</f>
        <v/>
      </c>
      <c r="O67" s="22" t="str">
        <f>IF($G67="","",MEDIAN(참조데이터!$H$1,참조데이터!$H$2,$G67+4*IF($G67=참조데이터!$H$1,1,-1)))</f>
        <v/>
      </c>
      <c r="P67" s="17"/>
      <c r="Q67" s="20"/>
      <c r="R67" s="24"/>
      <c r="S67" s="35" t="str">
        <f>IF($D67="","",IF($D67=참조데이터!$A$3,"",IFERROR(IF(VLOOKUP($D67,참조데이터!$A$1:$C$3,3,FALSE)="",1,VLOOKUP($D67,참조데이터!$A$1:$C$3,3,FALSE)),1)))</f>
        <v/>
      </c>
      <c r="T67" s="36" t="str">
        <f>IF($D67="","",IFERROR(VLOOKUP($D67,참조데이터!$A$9:$B$11,2,FALSE),""))</f>
        <v/>
      </c>
      <c r="U67" s="17"/>
    </row>
    <row r="68" spans="1:21" ht="22.05" customHeight="1" x14ac:dyDescent="0.4">
      <c r="A68" s="44"/>
      <c r="B68" s="48"/>
      <c r="C68" s="14"/>
      <c r="D68" s="15"/>
      <c r="E68" s="16"/>
      <c r="F68" s="17" t="str">
        <f>IFERROR(INDEX(참조데이터!$D$2:$D$6,MATCH($G68,참조데이터!$E$2:$E$6,0)),"")</f>
        <v/>
      </c>
      <c r="G68" s="23" t="str">
        <f>IF($D68="척도형",참조데이터!$E$2,"")</f>
        <v/>
      </c>
      <c r="H68" s="19" t="str">
        <f>IFERROR(INDEX(참조데이터!$D$2:$D$6,MATCH($I68,참조데이터!$E$2:$E$6,0)),"")</f>
        <v/>
      </c>
      <c r="I68" s="23" t="str">
        <f>IF($G68="","",MEDIAN(참조데이터!$H$1,참조데이터!$H$2,$G68+1*IF($G68=참조데이터!$H$1,1,-1)))</f>
        <v/>
      </c>
      <c r="J68" s="19" t="str">
        <f>IFERROR(INDEX(참조데이터!$D$2:$D$6,MATCH($K68,참조데이터!$E$2:$E$6,0)),"")</f>
        <v/>
      </c>
      <c r="K68" s="23" t="str">
        <f>IF($G68="","",MEDIAN(참조데이터!$H$1,참조데이터!$H$2,$G68+2*IF($G68=참조데이터!$H$1,1,-1)))</f>
        <v/>
      </c>
      <c r="L68" s="19" t="str">
        <f>IFERROR(INDEX(참조데이터!$D$2:$D$6,MATCH($M68,참조데이터!$E$2:$E$6,0)),"")</f>
        <v/>
      </c>
      <c r="M68" s="23" t="str">
        <f>IF($G68="","",MEDIAN(참조데이터!$H$1,참조데이터!$H$2,$G68+3*IF($G68=참조데이터!$H$1,1,-1)))</f>
        <v/>
      </c>
      <c r="N68" s="20" t="str">
        <f>IFERROR(INDEX(참조데이터!$D$2:$D$6,MATCH($O68,참조데이터!$E$2:$E$6,0)),"")</f>
        <v/>
      </c>
      <c r="O68" s="22" t="str">
        <f>IF($G68="","",MEDIAN(참조데이터!$H$1,참조데이터!$H$2,$G68+4*IF($G68=참조데이터!$H$1,1,-1)))</f>
        <v/>
      </c>
      <c r="P68" s="17"/>
      <c r="Q68" s="20"/>
      <c r="R68" s="24"/>
      <c r="S68" s="35" t="str">
        <f>IF($D68="","",IF($D68=참조데이터!$A$3,"",IFERROR(IF(VLOOKUP($D68,참조데이터!$A$1:$C$3,3,FALSE)="",1,VLOOKUP($D68,참조데이터!$A$1:$C$3,3,FALSE)),1)))</f>
        <v/>
      </c>
      <c r="T68" s="36" t="str">
        <f>IF($D68="","",IFERROR(VLOOKUP($D68,참조데이터!$A$9:$B$11,2,FALSE),""))</f>
        <v/>
      </c>
      <c r="U68" s="17"/>
    </row>
    <row r="69" spans="1:21" ht="22.05" customHeight="1" x14ac:dyDescent="0.4">
      <c r="A69" s="44"/>
      <c r="B69" s="48"/>
      <c r="C69" s="14"/>
      <c r="D69" s="15"/>
      <c r="E69" s="16"/>
      <c r="F69" s="17" t="str">
        <f>IFERROR(INDEX(참조데이터!$D$2:$D$6,MATCH($G69,참조데이터!$E$2:$E$6,0)),"")</f>
        <v/>
      </c>
      <c r="G69" s="23" t="str">
        <f>IF($D69="척도형",참조데이터!$E$2,"")</f>
        <v/>
      </c>
      <c r="H69" s="19" t="str">
        <f>IFERROR(INDEX(참조데이터!$D$2:$D$6,MATCH($I69,참조데이터!$E$2:$E$6,0)),"")</f>
        <v/>
      </c>
      <c r="I69" s="23" t="str">
        <f>IF($G69="","",MEDIAN(참조데이터!$H$1,참조데이터!$H$2,$G69+1*IF($G69=참조데이터!$H$1,1,-1)))</f>
        <v/>
      </c>
      <c r="J69" s="19" t="str">
        <f>IFERROR(INDEX(참조데이터!$D$2:$D$6,MATCH($K69,참조데이터!$E$2:$E$6,0)),"")</f>
        <v/>
      </c>
      <c r="K69" s="23" t="str">
        <f>IF($G69="","",MEDIAN(참조데이터!$H$1,참조데이터!$H$2,$G69+2*IF($G69=참조데이터!$H$1,1,-1)))</f>
        <v/>
      </c>
      <c r="L69" s="19" t="str">
        <f>IFERROR(INDEX(참조데이터!$D$2:$D$6,MATCH($M69,참조데이터!$E$2:$E$6,0)),"")</f>
        <v/>
      </c>
      <c r="M69" s="23" t="str">
        <f>IF($G69="","",MEDIAN(참조데이터!$H$1,참조데이터!$H$2,$G69+3*IF($G69=참조데이터!$H$1,1,-1)))</f>
        <v/>
      </c>
      <c r="N69" s="20" t="str">
        <f>IFERROR(INDEX(참조데이터!$D$2:$D$6,MATCH($O69,참조데이터!$E$2:$E$6,0)),"")</f>
        <v/>
      </c>
      <c r="O69" s="22" t="str">
        <f>IF($G69="","",MEDIAN(참조데이터!$H$1,참조데이터!$H$2,$G69+4*IF($G69=참조데이터!$H$1,1,-1)))</f>
        <v/>
      </c>
      <c r="P69" s="17"/>
      <c r="Q69" s="20"/>
      <c r="R69" s="24"/>
      <c r="S69" s="35" t="str">
        <f>IF($D69="","",IF($D69=참조데이터!$A$3,"",IFERROR(IF(VLOOKUP($D69,참조데이터!$A$1:$C$3,3,FALSE)="",1,VLOOKUP($D69,참조데이터!$A$1:$C$3,3,FALSE)),1)))</f>
        <v/>
      </c>
      <c r="T69" s="36" t="str">
        <f>IF($D69="","",IFERROR(VLOOKUP($D69,참조데이터!$A$9:$B$11,2,FALSE),""))</f>
        <v/>
      </c>
      <c r="U69" s="17"/>
    </row>
    <row r="70" spans="1:21" ht="22.05" customHeight="1" x14ac:dyDescent="0.4">
      <c r="A70" s="44"/>
      <c r="B70" s="48"/>
      <c r="C70" s="14"/>
      <c r="D70" s="15"/>
      <c r="E70" s="16"/>
      <c r="F70" s="17" t="str">
        <f>IFERROR(INDEX(참조데이터!$D$2:$D$6,MATCH($G70,참조데이터!$E$2:$E$6,0)),"")</f>
        <v/>
      </c>
      <c r="G70" s="23" t="str">
        <f>IF($D70="척도형",참조데이터!$E$2,"")</f>
        <v/>
      </c>
      <c r="H70" s="19" t="str">
        <f>IFERROR(INDEX(참조데이터!$D$2:$D$6,MATCH($I70,참조데이터!$E$2:$E$6,0)),"")</f>
        <v/>
      </c>
      <c r="I70" s="23" t="str">
        <f>IF($G70="","",MEDIAN(참조데이터!$H$1,참조데이터!$H$2,$G70+1*IF($G70=참조데이터!$H$1,1,-1)))</f>
        <v/>
      </c>
      <c r="J70" s="19" t="str">
        <f>IFERROR(INDEX(참조데이터!$D$2:$D$6,MATCH($K70,참조데이터!$E$2:$E$6,0)),"")</f>
        <v/>
      </c>
      <c r="K70" s="23" t="str">
        <f>IF($G70="","",MEDIAN(참조데이터!$H$1,참조데이터!$H$2,$G70+2*IF($G70=참조데이터!$H$1,1,-1)))</f>
        <v/>
      </c>
      <c r="L70" s="19" t="str">
        <f>IFERROR(INDEX(참조데이터!$D$2:$D$6,MATCH($M70,참조데이터!$E$2:$E$6,0)),"")</f>
        <v/>
      </c>
      <c r="M70" s="23" t="str">
        <f>IF($G70="","",MEDIAN(참조데이터!$H$1,참조데이터!$H$2,$G70+3*IF($G70=참조데이터!$H$1,1,-1)))</f>
        <v/>
      </c>
      <c r="N70" s="20" t="str">
        <f>IFERROR(INDEX(참조데이터!$D$2:$D$6,MATCH($O70,참조데이터!$E$2:$E$6,0)),"")</f>
        <v/>
      </c>
      <c r="O70" s="22" t="str">
        <f>IF($G70="","",MEDIAN(참조데이터!$H$1,참조데이터!$H$2,$G70+4*IF($G70=참조데이터!$H$1,1,-1)))</f>
        <v/>
      </c>
      <c r="P70" s="17"/>
      <c r="Q70" s="20"/>
      <c r="R70" s="24"/>
      <c r="S70" s="35" t="str">
        <f>IF($D70="","",IF($D70=참조데이터!$A$3,"",IFERROR(IF(VLOOKUP($D70,참조데이터!$A$1:$C$3,3,FALSE)="",1,VLOOKUP($D70,참조데이터!$A$1:$C$3,3,FALSE)),1)))</f>
        <v/>
      </c>
      <c r="T70" s="36" t="str">
        <f>IF($D70="","",IFERROR(VLOOKUP($D70,참조데이터!$A$9:$B$11,2,FALSE),""))</f>
        <v/>
      </c>
      <c r="U70" s="17"/>
    </row>
    <row r="71" spans="1:21" ht="22.05" customHeight="1" x14ac:dyDescent="0.4">
      <c r="A71" s="44"/>
      <c r="B71" s="48"/>
      <c r="C71" s="14"/>
      <c r="D71" s="15"/>
      <c r="E71" s="16"/>
      <c r="F71" s="17" t="str">
        <f>IFERROR(INDEX(참조데이터!$D$2:$D$6,MATCH($G71,참조데이터!$E$2:$E$6,0)),"")</f>
        <v/>
      </c>
      <c r="G71" s="23" t="str">
        <f>IF($D71="척도형",참조데이터!$E$2,"")</f>
        <v/>
      </c>
      <c r="H71" s="19" t="str">
        <f>IFERROR(INDEX(참조데이터!$D$2:$D$6,MATCH($I71,참조데이터!$E$2:$E$6,0)),"")</f>
        <v/>
      </c>
      <c r="I71" s="23" t="str">
        <f>IF($G71="","",MEDIAN(참조데이터!$H$1,참조데이터!$H$2,$G71+1*IF($G71=참조데이터!$H$1,1,-1)))</f>
        <v/>
      </c>
      <c r="J71" s="19" t="str">
        <f>IFERROR(INDEX(참조데이터!$D$2:$D$6,MATCH($K71,참조데이터!$E$2:$E$6,0)),"")</f>
        <v/>
      </c>
      <c r="K71" s="23" t="str">
        <f>IF($G71="","",MEDIAN(참조데이터!$H$1,참조데이터!$H$2,$G71+2*IF($G71=참조데이터!$H$1,1,-1)))</f>
        <v/>
      </c>
      <c r="L71" s="19" t="str">
        <f>IFERROR(INDEX(참조데이터!$D$2:$D$6,MATCH($M71,참조데이터!$E$2:$E$6,0)),"")</f>
        <v/>
      </c>
      <c r="M71" s="23" t="str">
        <f>IF($G71="","",MEDIAN(참조데이터!$H$1,참조데이터!$H$2,$G71+3*IF($G71=참조데이터!$H$1,1,-1)))</f>
        <v/>
      </c>
      <c r="N71" s="20" t="str">
        <f>IFERROR(INDEX(참조데이터!$D$2:$D$6,MATCH($O71,참조데이터!$E$2:$E$6,0)),"")</f>
        <v/>
      </c>
      <c r="O71" s="22" t="str">
        <f>IF($G71="","",MEDIAN(참조데이터!$H$1,참조데이터!$H$2,$G71+4*IF($G71=참조데이터!$H$1,1,-1)))</f>
        <v/>
      </c>
      <c r="P71" s="17"/>
      <c r="Q71" s="20"/>
      <c r="R71" s="24"/>
      <c r="S71" s="35" t="str">
        <f>IF($D71="","",IF($D71=참조데이터!$A$3,"",IFERROR(IF(VLOOKUP($D71,참조데이터!$A$1:$C$3,3,FALSE)="",1,VLOOKUP($D71,참조데이터!$A$1:$C$3,3,FALSE)),1)))</f>
        <v/>
      </c>
      <c r="T71" s="36" t="str">
        <f>IF($D71="","",IFERROR(VLOOKUP($D71,참조데이터!$A$9:$B$11,2,FALSE),""))</f>
        <v/>
      </c>
      <c r="U71" s="17"/>
    </row>
    <row r="72" spans="1:21" ht="22.05" customHeight="1" x14ac:dyDescent="0.4">
      <c r="A72" s="44"/>
      <c r="B72" s="48"/>
      <c r="C72" s="14"/>
      <c r="D72" s="15"/>
      <c r="E72" s="16"/>
      <c r="F72" s="17" t="str">
        <f>IFERROR(INDEX(참조데이터!$D$2:$D$6,MATCH($G72,참조데이터!$E$2:$E$6,0)),"")</f>
        <v/>
      </c>
      <c r="G72" s="23" t="str">
        <f>IF($D72="척도형",참조데이터!$E$2,"")</f>
        <v/>
      </c>
      <c r="H72" s="19" t="str">
        <f>IFERROR(INDEX(참조데이터!$D$2:$D$6,MATCH($I72,참조데이터!$E$2:$E$6,0)),"")</f>
        <v/>
      </c>
      <c r="I72" s="23" t="str">
        <f>IF($G72="","",MEDIAN(참조데이터!$H$1,참조데이터!$H$2,$G72+1*IF($G72=참조데이터!$H$1,1,-1)))</f>
        <v/>
      </c>
      <c r="J72" s="19" t="str">
        <f>IFERROR(INDEX(참조데이터!$D$2:$D$6,MATCH($K72,참조데이터!$E$2:$E$6,0)),"")</f>
        <v/>
      </c>
      <c r="K72" s="23" t="str">
        <f>IF($G72="","",MEDIAN(참조데이터!$H$1,참조데이터!$H$2,$G72+2*IF($G72=참조데이터!$H$1,1,-1)))</f>
        <v/>
      </c>
      <c r="L72" s="19" t="str">
        <f>IFERROR(INDEX(참조데이터!$D$2:$D$6,MATCH($M72,참조데이터!$E$2:$E$6,0)),"")</f>
        <v/>
      </c>
      <c r="M72" s="23" t="str">
        <f>IF($G72="","",MEDIAN(참조데이터!$H$1,참조데이터!$H$2,$G72+3*IF($G72=참조데이터!$H$1,1,-1)))</f>
        <v/>
      </c>
      <c r="N72" s="20" t="str">
        <f>IFERROR(INDEX(참조데이터!$D$2:$D$6,MATCH($O72,참조데이터!$E$2:$E$6,0)),"")</f>
        <v/>
      </c>
      <c r="O72" s="22" t="str">
        <f>IF($G72="","",MEDIAN(참조데이터!$H$1,참조데이터!$H$2,$G72+4*IF($G72=참조데이터!$H$1,1,-1)))</f>
        <v/>
      </c>
      <c r="P72" s="17"/>
      <c r="Q72" s="20"/>
      <c r="R72" s="24"/>
      <c r="S72" s="35" t="str">
        <f>IF($D72="","",IF($D72=참조데이터!$A$3,"",IFERROR(IF(VLOOKUP($D72,참조데이터!$A$1:$C$3,3,FALSE)="",1,VLOOKUP($D72,참조데이터!$A$1:$C$3,3,FALSE)),1)))</f>
        <v/>
      </c>
      <c r="T72" s="36" t="str">
        <f>IF($D72="","",IFERROR(VLOOKUP($D72,참조데이터!$A$9:$B$11,2,FALSE),""))</f>
        <v/>
      </c>
      <c r="U72" s="17"/>
    </row>
    <row r="73" spans="1:21" ht="22.05" customHeight="1" x14ac:dyDescent="0.4">
      <c r="A73" s="44"/>
      <c r="B73" s="48"/>
      <c r="C73" s="14"/>
      <c r="D73" s="15"/>
      <c r="E73" s="16"/>
      <c r="F73" s="17" t="str">
        <f>IFERROR(INDEX(참조데이터!$D$2:$D$6,MATCH($G73,참조데이터!$E$2:$E$6,0)),"")</f>
        <v/>
      </c>
      <c r="G73" s="23" t="str">
        <f>IF($D73="척도형",참조데이터!$E$2,"")</f>
        <v/>
      </c>
      <c r="H73" s="19" t="str">
        <f>IFERROR(INDEX(참조데이터!$D$2:$D$6,MATCH($I73,참조데이터!$E$2:$E$6,0)),"")</f>
        <v/>
      </c>
      <c r="I73" s="23" t="str">
        <f>IF($G73="","",MEDIAN(참조데이터!$H$1,참조데이터!$H$2,$G73+1*IF($G73=참조데이터!$H$1,1,-1)))</f>
        <v/>
      </c>
      <c r="J73" s="19" t="str">
        <f>IFERROR(INDEX(참조데이터!$D$2:$D$6,MATCH($K73,참조데이터!$E$2:$E$6,0)),"")</f>
        <v/>
      </c>
      <c r="K73" s="23" t="str">
        <f>IF($G73="","",MEDIAN(참조데이터!$H$1,참조데이터!$H$2,$G73+2*IF($G73=참조데이터!$H$1,1,-1)))</f>
        <v/>
      </c>
      <c r="L73" s="19" t="str">
        <f>IFERROR(INDEX(참조데이터!$D$2:$D$6,MATCH($M73,참조데이터!$E$2:$E$6,0)),"")</f>
        <v/>
      </c>
      <c r="M73" s="23" t="str">
        <f>IF($G73="","",MEDIAN(참조데이터!$H$1,참조데이터!$H$2,$G73+3*IF($G73=참조데이터!$H$1,1,-1)))</f>
        <v/>
      </c>
      <c r="N73" s="20" t="str">
        <f>IFERROR(INDEX(참조데이터!$D$2:$D$6,MATCH($O73,참조데이터!$E$2:$E$6,0)),"")</f>
        <v/>
      </c>
      <c r="O73" s="22" t="str">
        <f>IF($G73="","",MEDIAN(참조데이터!$H$1,참조데이터!$H$2,$G73+4*IF($G73=참조데이터!$H$1,1,-1)))</f>
        <v/>
      </c>
      <c r="P73" s="17"/>
      <c r="Q73" s="20"/>
      <c r="R73" s="24"/>
      <c r="S73" s="35" t="str">
        <f>IF($D73="","",IF($D73=참조데이터!$A$3,"",IFERROR(IF(VLOOKUP($D73,참조데이터!$A$1:$C$3,3,FALSE)="",1,VLOOKUP($D73,참조데이터!$A$1:$C$3,3,FALSE)),1)))</f>
        <v/>
      </c>
      <c r="T73" s="36" t="str">
        <f>IF($D73="","",IFERROR(VLOOKUP($D73,참조데이터!$A$9:$B$11,2,FALSE),""))</f>
        <v/>
      </c>
      <c r="U73" s="17"/>
    </row>
    <row r="74" spans="1:21" ht="22.05" customHeight="1" x14ac:dyDescent="0.4">
      <c r="A74" s="44"/>
      <c r="B74" s="48"/>
      <c r="C74" s="14"/>
      <c r="D74" s="15"/>
      <c r="E74" s="16"/>
      <c r="F74" s="17" t="str">
        <f>IFERROR(INDEX(참조데이터!$D$2:$D$6,MATCH($G74,참조데이터!$E$2:$E$6,0)),"")</f>
        <v/>
      </c>
      <c r="G74" s="23" t="str">
        <f>IF($D74="척도형",참조데이터!$E$2,"")</f>
        <v/>
      </c>
      <c r="H74" s="19" t="str">
        <f>IFERROR(INDEX(참조데이터!$D$2:$D$6,MATCH($I74,참조데이터!$E$2:$E$6,0)),"")</f>
        <v/>
      </c>
      <c r="I74" s="23" t="str">
        <f>IF($G74="","",MEDIAN(참조데이터!$H$1,참조데이터!$H$2,$G74+1*IF($G74=참조데이터!$H$1,1,-1)))</f>
        <v/>
      </c>
      <c r="J74" s="19" t="str">
        <f>IFERROR(INDEX(참조데이터!$D$2:$D$6,MATCH($K74,참조데이터!$E$2:$E$6,0)),"")</f>
        <v/>
      </c>
      <c r="K74" s="23" t="str">
        <f>IF($G74="","",MEDIAN(참조데이터!$H$1,참조데이터!$H$2,$G74+2*IF($G74=참조데이터!$H$1,1,-1)))</f>
        <v/>
      </c>
      <c r="L74" s="19" t="str">
        <f>IFERROR(INDEX(참조데이터!$D$2:$D$6,MATCH($M74,참조데이터!$E$2:$E$6,0)),"")</f>
        <v/>
      </c>
      <c r="M74" s="23" t="str">
        <f>IF($G74="","",MEDIAN(참조데이터!$H$1,참조데이터!$H$2,$G74+3*IF($G74=참조데이터!$H$1,1,-1)))</f>
        <v/>
      </c>
      <c r="N74" s="20" t="str">
        <f>IFERROR(INDEX(참조데이터!$D$2:$D$6,MATCH($O74,참조데이터!$E$2:$E$6,0)),"")</f>
        <v/>
      </c>
      <c r="O74" s="22" t="str">
        <f>IF($G74="","",MEDIAN(참조데이터!$H$1,참조데이터!$H$2,$G74+4*IF($G74=참조데이터!$H$1,1,-1)))</f>
        <v/>
      </c>
      <c r="P74" s="17"/>
      <c r="Q74" s="20"/>
      <c r="R74" s="24"/>
      <c r="S74" s="35" t="str">
        <f>IF($D74="","",IF($D74=참조데이터!$A$3,"",IFERROR(IF(VLOOKUP($D74,참조데이터!$A$1:$C$3,3,FALSE)="",1,VLOOKUP($D74,참조데이터!$A$1:$C$3,3,FALSE)),1)))</f>
        <v/>
      </c>
      <c r="T74" s="36" t="str">
        <f>IF($D74="","",IFERROR(VLOOKUP($D74,참조데이터!$A$9:$B$11,2,FALSE),""))</f>
        <v/>
      </c>
      <c r="U74" s="17"/>
    </row>
    <row r="75" spans="1:21" ht="22.05" customHeight="1" x14ac:dyDescent="0.4">
      <c r="A75" s="44"/>
      <c r="B75" s="48"/>
      <c r="C75" s="14"/>
      <c r="D75" s="15"/>
      <c r="E75" s="16"/>
      <c r="F75" s="17" t="str">
        <f>IFERROR(INDEX(참조데이터!$D$2:$D$6,MATCH($G75,참조데이터!$E$2:$E$6,0)),"")</f>
        <v/>
      </c>
      <c r="G75" s="23" t="str">
        <f>IF($D75="척도형",참조데이터!$E$2,"")</f>
        <v/>
      </c>
      <c r="H75" s="19" t="str">
        <f>IFERROR(INDEX(참조데이터!$D$2:$D$6,MATCH($I75,참조데이터!$E$2:$E$6,0)),"")</f>
        <v/>
      </c>
      <c r="I75" s="23" t="str">
        <f>IF($G75="","",MEDIAN(참조데이터!$H$1,참조데이터!$H$2,$G75+1*IF($G75=참조데이터!$H$1,1,-1)))</f>
        <v/>
      </c>
      <c r="J75" s="19" t="str">
        <f>IFERROR(INDEX(참조데이터!$D$2:$D$6,MATCH($K75,참조데이터!$E$2:$E$6,0)),"")</f>
        <v/>
      </c>
      <c r="K75" s="23" t="str">
        <f>IF($G75="","",MEDIAN(참조데이터!$H$1,참조데이터!$H$2,$G75+2*IF($G75=참조데이터!$H$1,1,-1)))</f>
        <v/>
      </c>
      <c r="L75" s="19" t="str">
        <f>IFERROR(INDEX(참조데이터!$D$2:$D$6,MATCH($M75,참조데이터!$E$2:$E$6,0)),"")</f>
        <v/>
      </c>
      <c r="M75" s="23" t="str">
        <f>IF($G75="","",MEDIAN(참조데이터!$H$1,참조데이터!$H$2,$G75+3*IF($G75=참조데이터!$H$1,1,-1)))</f>
        <v/>
      </c>
      <c r="N75" s="20" t="str">
        <f>IFERROR(INDEX(참조데이터!$D$2:$D$6,MATCH($O75,참조데이터!$E$2:$E$6,0)),"")</f>
        <v/>
      </c>
      <c r="O75" s="22" t="str">
        <f>IF($G75="","",MEDIAN(참조데이터!$H$1,참조데이터!$H$2,$G75+4*IF($G75=참조데이터!$H$1,1,-1)))</f>
        <v/>
      </c>
      <c r="P75" s="17"/>
      <c r="Q75" s="20"/>
      <c r="R75" s="24"/>
      <c r="S75" s="35" t="str">
        <f>IF($D75="","",IF($D75=참조데이터!$A$3,"",IFERROR(IF(VLOOKUP($D75,참조데이터!$A$1:$C$3,3,FALSE)="",1,VLOOKUP($D75,참조데이터!$A$1:$C$3,3,FALSE)),1)))</f>
        <v/>
      </c>
      <c r="T75" s="36" t="str">
        <f>IF($D75="","",IFERROR(VLOOKUP($D75,참조데이터!$A$9:$B$11,2,FALSE),""))</f>
        <v/>
      </c>
      <c r="U75" s="17"/>
    </row>
    <row r="76" spans="1:21" ht="22.05" customHeight="1" x14ac:dyDescent="0.4">
      <c r="A76" s="44"/>
      <c r="B76" s="48"/>
      <c r="C76" s="14"/>
      <c r="D76" s="15"/>
      <c r="E76" s="16"/>
      <c r="F76" s="17" t="str">
        <f>IFERROR(INDEX(참조데이터!$D$2:$D$6,MATCH($G76,참조데이터!$E$2:$E$6,0)),"")</f>
        <v/>
      </c>
      <c r="G76" s="23" t="str">
        <f>IF($D76="척도형",참조데이터!$E$2,"")</f>
        <v/>
      </c>
      <c r="H76" s="19" t="str">
        <f>IFERROR(INDEX(참조데이터!$D$2:$D$6,MATCH($I76,참조데이터!$E$2:$E$6,0)),"")</f>
        <v/>
      </c>
      <c r="I76" s="23" t="str">
        <f>IF($G76="","",MEDIAN(참조데이터!$H$1,참조데이터!$H$2,$G76+1*IF($G76=참조데이터!$H$1,1,-1)))</f>
        <v/>
      </c>
      <c r="J76" s="19" t="str">
        <f>IFERROR(INDEX(참조데이터!$D$2:$D$6,MATCH($K76,참조데이터!$E$2:$E$6,0)),"")</f>
        <v/>
      </c>
      <c r="K76" s="23" t="str">
        <f>IF($G76="","",MEDIAN(참조데이터!$H$1,참조데이터!$H$2,$G76+2*IF($G76=참조데이터!$H$1,1,-1)))</f>
        <v/>
      </c>
      <c r="L76" s="19" t="str">
        <f>IFERROR(INDEX(참조데이터!$D$2:$D$6,MATCH($M76,참조데이터!$E$2:$E$6,0)),"")</f>
        <v/>
      </c>
      <c r="M76" s="23" t="str">
        <f>IF($G76="","",MEDIAN(참조데이터!$H$1,참조데이터!$H$2,$G76+3*IF($G76=참조데이터!$H$1,1,-1)))</f>
        <v/>
      </c>
      <c r="N76" s="20" t="str">
        <f>IFERROR(INDEX(참조데이터!$D$2:$D$6,MATCH($O76,참조데이터!$E$2:$E$6,0)),"")</f>
        <v/>
      </c>
      <c r="O76" s="22" t="str">
        <f>IF($G76="","",MEDIAN(참조데이터!$H$1,참조데이터!$H$2,$G76+4*IF($G76=참조데이터!$H$1,1,-1)))</f>
        <v/>
      </c>
      <c r="P76" s="17"/>
      <c r="Q76" s="20"/>
      <c r="R76" s="24"/>
      <c r="S76" s="35" t="str">
        <f>IF($D76="","",IF($D76=참조데이터!$A$3,"",IFERROR(IF(VLOOKUP($D76,참조데이터!$A$1:$C$3,3,FALSE)="",1,VLOOKUP($D76,참조데이터!$A$1:$C$3,3,FALSE)),1)))</f>
        <v/>
      </c>
      <c r="T76" s="36" t="str">
        <f>IF($D76="","",IFERROR(VLOOKUP($D76,참조데이터!$A$9:$B$11,2,FALSE),""))</f>
        <v/>
      </c>
      <c r="U76" s="17"/>
    </row>
    <row r="77" spans="1:21" ht="22.05" customHeight="1" x14ac:dyDescent="0.4">
      <c r="A77" s="44"/>
      <c r="B77" s="48"/>
      <c r="C77" s="14"/>
      <c r="D77" s="15"/>
      <c r="E77" s="16"/>
      <c r="F77" s="17" t="str">
        <f>IFERROR(INDEX(참조데이터!$D$2:$D$6,MATCH($G77,참조데이터!$E$2:$E$6,0)),"")</f>
        <v/>
      </c>
      <c r="G77" s="23" t="str">
        <f>IF($D77="척도형",참조데이터!$E$2,"")</f>
        <v/>
      </c>
      <c r="H77" s="19" t="str">
        <f>IFERROR(INDEX(참조데이터!$D$2:$D$6,MATCH($I77,참조데이터!$E$2:$E$6,0)),"")</f>
        <v/>
      </c>
      <c r="I77" s="23" t="str">
        <f>IF($G77="","",MEDIAN(참조데이터!$H$1,참조데이터!$H$2,$G77+1*IF($G77=참조데이터!$H$1,1,-1)))</f>
        <v/>
      </c>
      <c r="J77" s="19" t="str">
        <f>IFERROR(INDEX(참조데이터!$D$2:$D$6,MATCH($K77,참조데이터!$E$2:$E$6,0)),"")</f>
        <v/>
      </c>
      <c r="K77" s="23" t="str">
        <f>IF($G77="","",MEDIAN(참조데이터!$H$1,참조데이터!$H$2,$G77+2*IF($G77=참조데이터!$H$1,1,-1)))</f>
        <v/>
      </c>
      <c r="L77" s="19" t="str">
        <f>IFERROR(INDEX(참조데이터!$D$2:$D$6,MATCH($M77,참조데이터!$E$2:$E$6,0)),"")</f>
        <v/>
      </c>
      <c r="M77" s="23" t="str">
        <f>IF($G77="","",MEDIAN(참조데이터!$H$1,참조데이터!$H$2,$G77+3*IF($G77=참조데이터!$H$1,1,-1)))</f>
        <v/>
      </c>
      <c r="N77" s="20" t="str">
        <f>IFERROR(INDEX(참조데이터!$D$2:$D$6,MATCH($O77,참조데이터!$E$2:$E$6,0)),"")</f>
        <v/>
      </c>
      <c r="O77" s="22" t="str">
        <f>IF($G77="","",MEDIAN(참조데이터!$H$1,참조데이터!$H$2,$G77+4*IF($G77=참조데이터!$H$1,1,-1)))</f>
        <v/>
      </c>
      <c r="P77" s="17"/>
      <c r="Q77" s="20"/>
      <c r="R77" s="24"/>
      <c r="S77" s="35" t="str">
        <f>IF($D77="","",IF($D77=참조데이터!$A$3,"",IFERROR(IF(VLOOKUP($D77,참조데이터!$A$1:$C$3,3,FALSE)="",1,VLOOKUP($D77,참조데이터!$A$1:$C$3,3,FALSE)),1)))</f>
        <v/>
      </c>
      <c r="T77" s="36" t="str">
        <f>IF($D77="","",IFERROR(VLOOKUP($D77,참조데이터!$A$9:$B$11,2,FALSE),""))</f>
        <v/>
      </c>
      <c r="U77" s="17"/>
    </row>
    <row r="78" spans="1:21" ht="22.05" customHeight="1" x14ac:dyDescent="0.4">
      <c r="A78" s="44"/>
      <c r="B78" s="48"/>
      <c r="C78" s="14"/>
      <c r="D78" s="15"/>
      <c r="E78" s="16"/>
      <c r="F78" s="17" t="str">
        <f>IFERROR(INDEX(참조데이터!$D$2:$D$6,MATCH($G78,참조데이터!$E$2:$E$6,0)),"")</f>
        <v/>
      </c>
      <c r="G78" s="23" t="str">
        <f>IF($D78="척도형",참조데이터!$E$2,"")</f>
        <v/>
      </c>
      <c r="H78" s="19" t="str">
        <f>IFERROR(INDEX(참조데이터!$D$2:$D$6,MATCH($I78,참조데이터!$E$2:$E$6,0)),"")</f>
        <v/>
      </c>
      <c r="I78" s="23" t="str">
        <f>IF($G78="","",MEDIAN(참조데이터!$H$1,참조데이터!$H$2,$G78+1*IF($G78=참조데이터!$H$1,1,-1)))</f>
        <v/>
      </c>
      <c r="J78" s="19" t="str">
        <f>IFERROR(INDEX(참조데이터!$D$2:$D$6,MATCH($K78,참조데이터!$E$2:$E$6,0)),"")</f>
        <v/>
      </c>
      <c r="K78" s="23" t="str">
        <f>IF($G78="","",MEDIAN(참조데이터!$H$1,참조데이터!$H$2,$G78+2*IF($G78=참조데이터!$H$1,1,-1)))</f>
        <v/>
      </c>
      <c r="L78" s="19" t="str">
        <f>IFERROR(INDEX(참조데이터!$D$2:$D$6,MATCH($M78,참조데이터!$E$2:$E$6,0)),"")</f>
        <v/>
      </c>
      <c r="M78" s="23" t="str">
        <f>IF($G78="","",MEDIAN(참조데이터!$H$1,참조데이터!$H$2,$G78+3*IF($G78=참조데이터!$H$1,1,-1)))</f>
        <v/>
      </c>
      <c r="N78" s="20" t="str">
        <f>IFERROR(INDEX(참조데이터!$D$2:$D$6,MATCH($O78,참조데이터!$E$2:$E$6,0)),"")</f>
        <v/>
      </c>
      <c r="O78" s="22" t="str">
        <f>IF($G78="","",MEDIAN(참조데이터!$H$1,참조데이터!$H$2,$G78+4*IF($G78=참조데이터!$H$1,1,-1)))</f>
        <v/>
      </c>
      <c r="P78" s="17"/>
      <c r="Q78" s="20"/>
      <c r="R78" s="24"/>
      <c r="S78" s="35" t="str">
        <f>IF($D78="","",IF($D78=참조데이터!$A$3,"",IFERROR(IF(VLOOKUP($D78,참조데이터!$A$1:$C$3,3,FALSE)="",1,VLOOKUP($D78,참조데이터!$A$1:$C$3,3,FALSE)),1)))</f>
        <v/>
      </c>
      <c r="T78" s="36" t="str">
        <f>IF($D78="","",IFERROR(VLOOKUP($D78,참조데이터!$A$9:$B$11,2,FALSE),""))</f>
        <v/>
      </c>
      <c r="U78" s="17"/>
    </row>
    <row r="79" spans="1:21" ht="22.05" customHeight="1" x14ac:dyDescent="0.4">
      <c r="A79" s="44"/>
      <c r="B79" s="48"/>
      <c r="C79" s="14"/>
      <c r="D79" s="15"/>
      <c r="E79" s="16"/>
      <c r="F79" s="17" t="str">
        <f>IFERROR(INDEX(참조데이터!$D$2:$D$6,MATCH($G79,참조데이터!$E$2:$E$6,0)),"")</f>
        <v/>
      </c>
      <c r="G79" s="23" t="str">
        <f>IF($D79="척도형",참조데이터!$E$2,"")</f>
        <v/>
      </c>
      <c r="H79" s="19" t="str">
        <f>IFERROR(INDEX(참조데이터!$D$2:$D$6,MATCH($I79,참조데이터!$E$2:$E$6,0)),"")</f>
        <v/>
      </c>
      <c r="I79" s="23" t="str">
        <f>IF($G79="","",MEDIAN(참조데이터!$H$1,참조데이터!$H$2,$G79+1*IF($G79=참조데이터!$H$1,1,-1)))</f>
        <v/>
      </c>
      <c r="J79" s="19" t="str">
        <f>IFERROR(INDEX(참조데이터!$D$2:$D$6,MATCH($K79,참조데이터!$E$2:$E$6,0)),"")</f>
        <v/>
      </c>
      <c r="K79" s="23" t="str">
        <f>IF($G79="","",MEDIAN(참조데이터!$H$1,참조데이터!$H$2,$G79+2*IF($G79=참조데이터!$H$1,1,-1)))</f>
        <v/>
      </c>
      <c r="L79" s="19" t="str">
        <f>IFERROR(INDEX(참조데이터!$D$2:$D$6,MATCH($M79,참조데이터!$E$2:$E$6,0)),"")</f>
        <v/>
      </c>
      <c r="M79" s="23" t="str">
        <f>IF($G79="","",MEDIAN(참조데이터!$H$1,참조데이터!$H$2,$G79+3*IF($G79=참조데이터!$H$1,1,-1)))</f>
        <v/>
      </c>
      <c r="N79" s="20" t="str">
        <f>IFERROR(INDEX(참조데이터!$D$2:$D$6,MATCH($O79,참조데이터!$E$2:$E$6,0)),"")</f>
        <v/>
      </c>
      <c r="O79" s="22" t="str">
        <f>IF($G79="","",MEDIAN(참조데이터!$H$1,참조데이터!$H$2,$G79+4*IF($G79=참조데이터!$H$1,1,-1)))</f>
        <v/>
      </c>
      <c r="P79" s="17"/>
      <c r="Q79" s="20"/>
      <c r="R79" s="24"/>
      <c r="S79" s="35" t="str">
        <f>IF($D79="","",IF($D79=참조데이터!$A$3,"",IFERROR(IF(VLOOKUP($D79,참조데이터!$A$1:$C$3,3,FALSE)="",1,VLOOKUP($D79,참조데이터!$A$1:$C$3,3,FALSE)),1)))</f>
        <v/>
      </c>
      <c r="T79" s="36" t="str">
        <f>IF($D79="","",IFERROR(VLOOKUP($D79,참조데이터!$A$9:$B$11,2,FALSE),""))</f>
        <v/>
      </c>
      <c r="U79" s="17"/>
    </row>
    <row r="80" spans="1:21" ht="22.05" customHeight="1" x14ac:dyDescent="0.4">
      <c r="A80" s="44"/>
      <c r="B80" s="48"/>
      <c r="C80" s="14"/>
      <c r="D80" s="15"/>
      <c r="E80" s="16"/>
      <c r="F80" s="17" t="str">
        <f>IFERROR(INDEX(참조데이터!$D$2:$D$6,MATCH($G80,참조데이터!$E$2:$E$6,0)),"")</f>
        <v/>
      </c>
      <c r="G80" s="23" t="str">
        <f>IF($D80="척도형",참조데이터!$E$2,"")</f>
        <v/>
      </c>
      <c r="H80" s="19" t="str">
        <f>IFERROR(INDEX(참조데이터!$D$2:$D$6,MATCH($I80,참조데이터!$E$2:$E$6,0)),"")</f>
        <v/>
      </c>
      <c r="I80" s="23" t="str">
        <f>IF($G80="","",MEDIAN(참조데이터!$H$1,참조데이터!$H$2,$G80+1*IF($G80=참조데이터!$H$1,1,-1)))</f>
        <v/>
      </c>
      <c r="J80" s="19" t="str">
        <f>IFERROR(INDEX(참조데이터!$D$2:$D$6,MATCH($K80,참조데이터!$E$2:$E$6,0)),"")</f>
        <v/>
      </c>
      <c r="K80" s="23" t="str">
        <f>IF($G80="","",MEDIAN(참조데이터!$H$1,참조데이터!$H$2,$G80+2*IF($G80=참조데이터!$H$1,1,-1)))</f>
        <v/>
      </c>
      <c r="L80" s="19" t="str">
        <f>IFERROR(INDEX(참조데이터!$D$2:$D$6,MATCH($M80,참조데이터!$E$2:$E$6,0)),"")</f>
        <v/>
      </c>
      <c r="M80" s="23" t="str">
        <f>IF($G80="","",MEDIAN(참조데이터!$H$1,참조데이터!$H$2,$G80+3*IF($G80=참조데이터!$H$1,1,-1)))</f>
        <v/>
      </c>
      <c r="N80" s="20" t="str">
        <f>IFERROR(INDEX(참조데이터!$D$2:$D$6,MATCH($O80,참조데이터!$E$2:$E$6,0)),"")</f>
        <v/>
      </c>
      <c r="O80" s="22" t="str">
        <f>IF($G80="","",MEDIAN(참조데이터!$H$1,참조데이터!$H$2,$G80+4*IF($G80=참조데이터!$H$1,1,-1)))</f>
        <v/>
      </c>
      <c r="P80" s="17"/>
      <c r="Q80" s="20"/>
      <c r="R80" s="24"/>
      <c r="S80" s="35" t="str">
        <f>IF($D80="","",IF($D80=참조데이터!$A$3,"",IFERROR(IF(VLOOKUP($D80,참조데이터!$A$1:$C$3,3,FALSE)="",1,VLOOKUP($D80,참조데이터!$A$1:$C$3,3,FALSE)),1)))</f>
        <v/>
      </c>
      <c r="T80" s="36" t="str">
        <f>IF($D80="","",IFERROR(VLOOKUP($D80,참조데이터!$A$9:$B$11,2,FALSE),""))</f>
        <v/>
      </c>
      <c r="U80" s="17"/>
    </row>
    <row r="81" spans="1:21" ht="22.05" customHeight="1" x14ac:dyDescent="0.4">
      <c r="A81" s="44"/>
      <c r="B81" s="48"/>
      <c r="C81" s="14"/>
      <c r="D81" s="15"/>
      <c r="E81" s="16"/>
      <c r="F81" s="17" t="str">
        <f>IFERROR(INDEX(참조데이터!$D$2:$D$6,MATCH($G81,참조데이터!$E$2:$E$6,0)),"")</f>
        <v/>
      </c>
      <c r="G81" s="23" t="str">
        <f>IF($D81="척도형",참조데이터!$E$2,"")</f>
        <v/>
      </c>
      <c r="H81" s="19" t="str">
        <f>IFERROR(INDEX(참조데이터!$D$2:$D$6,MATCH($I81,참조데이터!$E$2:$E$6,0)),"")</f>
        <v/>
      </c>
      <c r="I81" s="23" t="str">
        <f>IF($G81="","",MEDIAN(참조데이터!$H$1,참조데이터!$H$2,$G81+1*IF($G81=참조데이터!$H$1,1,-1)))</f>
        <v/>
      </c>
      <c r="J81" s="19" t="str">
        <f>IFERROR(INDEX(참조데이터!$D$2:$D$6,MATCH($K81,참조데이터!$E$2:$E$6,0)),"")</f>
        <v/>
      </c>
      <c r="K81" s="23" t="str">
        <f>IF($G81="","",MEDIAN(참조데이터!$H$1,참조데이터!$H$2,$G81+2*IF($G81=참조데이터!$H$1,1,-1)))</f>
        <v/>
      </c>
      <c r="L81" s="19" t="str">
        <f>IFERROR(INDEX(참조데이터!$D$2:$D$6,MATCH($M81,참조데이터!$E$2:$E$6,0)),"")</f>
        <v/>
      </c>
      <c r="M81" s="23" t="str">
        <f>IF($G81="","",MEDIAN(참조데이터!$H$1,참조데이터!$H$2,$G81+3*IF($G81=참조데이터!$H$1,1,-1)))</f>
        <v/>
      </c>
      <c r="N81" s="20" t="str">
        <f>IFERROR(INDEX(참조데이터!$D$2:$D$6,MATCH($O81,참조데이터!$E$2:$E$6,0)),"")</f>
        <v/>
      </c>
      <c r="O81" s="22" t="str">
        <f>IF($G81="","",MEDIAN(참조데이터!$H$1,참조데이터!$H$2,$G81+4*IF($G81=참조데이터!$H$1,1,-1)))</f>
        <v/>
      </c>
      <c r="P81" s="17"/>
      <c r="Q81" s="20"/>
      <c r="R81" s="24"/>
      <c r="S81" s="35" t="str">
        <f>IF($D81="","",IF($D81=참조데이터!$A$3,"",IFERROR(IF(VLOOKUP($D81,참조데이터!$A$1:$C$3,3,FALSE)="",1,VLOOKUP($D81,참조데이터!$A$1:$C$3,3,FALSE)),1)))</f>
        <v/>
      </c>
      <c r="T81" s="36" t="str">
        <f>IF($D81="","",IFERROR(VLOOKUP($D81,참조데이터!$A$9:$B$11,2,FALSE),""))</f>
        <v/>
      </c>
      <c r="U81" s="17"/>
    </row>
    <row r="82" spans="1:21" ht="22.05" customHeight="1" x14ac:dyDescent="0.4">
      <c r="A82" s="44"/>
      <c r="B82" s="48"/>
      <c r="C82" s="14"/>
      <c r="D82" s="15"/>
      <c r="E82" s="16"/>
      <c r="F82" s="17" t="str">
        <f>IFERROR(INDEX(참조데이터!$D$2:$D$6,MATCH($G82,참조데이터!$E$2:$E$6,0)),"")</f>
        <v/>
      </c>
      <c r="G82" s="23" t="str">
        <f>IF($D82="척도형",참조데이터!$E$2,"")</f>
        <v/>
      </c>
      <c r="H82" s="19" t="str">
        <f>IFERROR(INDEX(참조데이터!$D$2:$D$6,MATCH($I82,참조데이터!$E$2:$E$6,0)),"")</f>
        <v/>
      </c>
      <c r="I82" s="23" t="str">
        <f>IF($G82="","",MEDIAN(참조데이터!$H$1,참조데이터!$H$2,$G82+1*IF($G82=참조데이터!$H$1,1,-1)))</f>
        <v/>
      </c>
      <c r="J82" s="19" t="str">
        <f>IFERROR(INDEX(참조데이터!$D$2:$D$6,MATCH($K82,참조데이터!$E$2:$E$6,0)),"")</f>
        <v/>
      </c>
      <c r="K82" s="23" t="str">
        <f>IF($G82="","",MEDIAN(참조데이터!$H$1,참조데이터!$H$2,$G82+2*IF($G82=참조데이터!$H$1,1,-1)))</f>
        <v/>
      </c>
      <c r="L82" s="19" t="str">
        <f>IFERROR(INDEX(참조데이터!$D$2:$D$6,MATCH($M82,참조데이터!$E$2:$E$6,0)),"")</f>
        <v/>
      </c>
      <c r="M82" s="23" t="str">
        <f>IF($G82="","",MEDIAN(참조데이터!$H$1,참조데이터!$H$2,$G82+3*IF($G82=참조데이터!$H$1,1,-1)))</f>
        <v/>
      </c>
      <c r="N82" s="20" t="str">
        <f>IFERROR(INDEX(참조데이터!$D$2:$D$6,MATCH($O82,참조데이터!$E$2:$E$6,0)),"")</f>
        <v/>
      </c>
      <c r="O82" s="22" t="str">
        <f>IF($G82="","",MEDIAN(참조데이터!$H$1,참조데이터!$H$2,$G82+4*IF($G82=참조데이터!$H$1,1,-1)))</f>
        <v/>
      </c>
      <c r="P82" s="17"/>
      <c r="Q82" s="20"/>
      <c r="R82" s="24"/>
      <c r="S82" s="35" t="str">
        <f>IF($D82="","",IF($D82=참조데이터!$A$3,"",IFERROR(IF(VLOOKUP($D82,참조데이터!$A$1:$C$3,3,FALSE)="",1,VLOOKUP($D82,참조데이터!$A$1:$C$3,3,FALSE)),1)))</f>
        <v/>
      </c>
      <c r="T82" s="36" t="str">
        <f>IF($D82="","",IFERROR(VLOOKUP($D82,참조데이터!$A$9:$B$11,2,FALSE),""))</f>
        <v/>
      </c>
      <c r="U82" s="17"/>
    </row>
    <row r="83" spans="1:21" ht="22.05" customHeight="1" x14ac:dyDescent="0.4">
      <c r="A83" s="44"/>
      <c r="B83" s="48"/>
      <c r="C83" s="14"/>
      <c r="D83" s="15"/>
      <c r="E83" s="16"/>
      <c r="F83" s="17" t="str">
        <f>IFERROR(INDEX(참조데이터!$D$2:$D$6,MATCH($G83,참조데이터!$E$2:$E$6,0)),"")</f>
        <v/>
      </c>
      <c r="G83" s="23" t="str">
        <f>IF($D83="척도형",참조데이터!$E$2,"")</f>
        <v/>
      </c>
      <c r="H83" s="19" t="str">
        <f>IFERROR(INDEX(참조데이터!$D$2:$D$6,MATCH($I83,참조데이터!$E$2:$E$6,0)),"")</f>
        <v/>
      </c>
      <c r="I83" s="23" t="str">
        <f>IF($G83="","",MEDIAN(참조데이터!$H$1,참조데이터!$H$2,$G83+1*IF($G83=참조데이터!$H$1,1,-1)))</f>
        <v/>
      </c>
      <c r="J83" s="19" t="str">
        <f>IFERROR(INDEX(참조데이터!$D$2:$D$6,MATCH($K83,참조데이터!$E$2:$E$6,0)),"")</f>
        <v/>
      </c>
      <c r="K83" s="23" t="str">
        <f>IF($G83="","",MEDIAN(참조데이터!$H$1,참조데이터!$H$2,$G83+2*IF($G83=참조데이터!$H$1,1,-1)))</f>
        <v/>
      </c>
      <c r="L83" s="19" t="str">
        <f>IFERROR(INDEX(참조데이터!$D$2:$D$6,MATCH($M83,참조데이터!$E$2:$E$6,0)),"")</f>
        <v/>
      </c>
      <c r="M83" s="23" t="str">
        <f>IF($G83="","",MEDIAN(참조데이터!$H$1,참조데이터!$H$2,$G83+3*IF($G83=참조데이터!$H$1,1,-1)))</f>
        <v/>
      </c>
      <c r="N83" s="20" t="str">
        <f>IFERROR(INDEX(참조데이터!$D$2:$D$6,MATCH($O83,참조데이터!$E$2:$E$6,0)),"")</f>
        <v/>
      </c>
      <c r="O83" s="22" t="str">
        <f>IF($G83="","",MEDIAN(참조데이터!$H$1,참조데이터!$H$2,$G83+4*IF($G83=참조데이터!$H$1,1,-1)))</f>
        <v/>
      </c>
      <c r="P83" s="17"/>
      <c r="Q83" s="20"/>
      <c r="R83" s="24"/>
      <c r="S83" s="35" t="str">
        <f>IF($D83="","",IF($D83=참조데이터!$A$3,"",IFERROR(IF(VLOOKUP($D83,참조데이터!$A$1:$C$3,3,FALSE)="",1,VLOOKUP($D83,참조데이터!$A$1:$C$3,3,FALSE)),1)))</f>
        <v/>
      </c>
      <c r="T83" s="36" t="str">
        <f>IF($D83="","",IFERROR(VLOOKUP($D83,참조데이터!$A$9:$B$11,2,FALSE),""))</f>
        <v/>
      </c>
      <c r="U83" s="17"/>
    </row>
    <row r="84" spans="1:21" ht="22.05" customHeight="1" x14ac:dyDescent="0.4">
      <c r="A84" s="44"/>
      <c r="B84" s="48"/>
      <c r="C84" s="14"/>
      <c r="D84" s="15"/>
      <c r="E84" s="16"/>
      <c r="F84" s="17" t="str">
        <f>IFERROR(INDEX(참조데이터!$D$2:$D$6,MATCH($G84,참조데이터!$E$2:$E$6,0)),"")</f>
        <v/>
      </c>
      <c r="G84" s="23" t="str">
        <f>IF($D84="척도형",참조데이터!$E$2,"")</f>
        <v/>
      </c>
      <c r="H84" s="19" t="str">
        <f>IFERROR(INDEX(참조데이터!$D$2:$D$6,MATCH($I84,참조데이터!$E$2:$E$6,0)),"")</f>
        <v/>
      </c>
      <c r="I84" s="23" t="str">
        <f>IF($G84="","",MEDIAN(참조데이터!$H$1,참조데이터!$H$2,$G84+1*IF($G84=참조데이터!$H$1,1,-1)))</f>
        <v/>
      </c>
      <c r="J84" s="19" t="str">
        <f>IFERROR(INDEX(참조데이터!$D$2:$D$6,MATCH($K84,참조데이터!$E$2:$E$6,0)),"")</f>
        <v/>
      </c>
      <c r="K84" s="23" t="str">
        <f>IF($G84="","",MEDIAN(참조데이터!$H$1,참조데이터!$H$2,$G84+2*IF($G84=참조데이터!$H$1,1,-1)))</f>
        <v/>
      </c>
      <c r="L84" s="19" t="str">
        <f>IFERROR(INDEX(참조데이터!$D$2:$D$6,MATCH($M84,참조데이터!$E$2:$E$6,0)),"")</f>
        <v/>
      </c>
      <c r="M84" s="23" t="str">
        <f>IF($G84="","",MEDIAN(참조데이터!$H$1,참조데이터!$H$2,$G84+3*IF($G84=참조데이터!$H$1,1,-1)))</f>
        <v/>
      </c>
      <c r="N84" s="20" t="str">
        <f>IFERROR(INDEX(참조데이터!$D$2:$D$6,MATCH($O84,참조데이터!$E$2:$E$6,0)),"")</f>
        <v/>
      </c>
      <c r="O84" s="22" t="str">
        <f>IF($G84="","",MEDIAN(참조데이터!$H$1,참조데이터!$H$2,$G84+4*IF($G84=참조데이터!$H$1,1,-1)))</f>
        <v/>
      </c>
      <c r="P84" s="17"/>
      <c r="Q84" s="20"/>
      <c r="R84" s="24"/>
      <c r="S84" s="35" t="str">
        <f>IF($D84="","",IF($D84=참조데이터!$A$3,"",IFERROR(IF(VLOOKUP($D84,참조데이터!$A$1:$C$3,3,FALSE)="",1,VLOOKUP($D84,참조데이터!$A$1:$C$3,3,FALSE)),1)))</f>
        <v/>
      </c>
      <c r="T84" s="36" t="str">
        <f>IF($D84="","",IFERROR(VLOOKUP($D84,참조데이터!$A$9:$B$11,2,FALSE),""))</f>
        <v/>
      </c>
      <c r="U84" s="17"/>
    </row>
    <row r="85" spans="1:21" ht="22.05" customHeight="1" x14ac:dyDescent="0.4">
      <c r="A85" s="44"/>
      <c r="B85" s="48"/>
      <c r="C85" s="14"/>
      <c r="D85" s="15"/>
      <c r="E85" s="16"/>
      <c r="F85" s="17" t="str">
        <f>IFERROR(INDEX(참조데이터!$D$2:$D$6,MATCH($G85,참조데이터!$E$2:$E$6,0)),"")</f>
        <v/>
      </c>
      <c r="G85" s="23" t="str">
        <f>IF($D85="척도형",참조데이터!$E$2,"")</f>
        <v/>
      </c>
      <c r="H85" s="19" t="str">
        <f>IFERROR(INDEX(참조데이터!$D$2:$D$6,MATCH($I85,참조데이터!$E$2:$E$6,0)),"")</f>
        <v/>
      </c>
      <c r="I85" s="23" t="str">
        <f>IF($G85="","",MEDIAN(참조데이터!$H$1,참조데이터!$H$2,$G85+1*IF($G85=참조데이터!$H$1,1,-1)))</f>
        <v/>
      </c>
      <c r="J85" s="19" t="str">
        <f>IFERROR(INDEX(참조데이터!$D$2:$D$6,MATCH($K85,참조데이터!$E$2:$E$6,0)),"")</f>
        <v/>
      </c>
      <c r="K85" s="23" t="str">
        <f>IF($G85="","",MEDIAN(참조데이터!$H$1,참조데이터!$H$2,$G85+2*IF($G85=참조데이터!$H$1,1,-1)))</f>
        <v/>
      </c>
      <c r="L85" s="19" t="str">
        <f>IFERROR(INDEX(참조데이터!$D$2:$D$6,MATCH($M85,참조데이터!$E$2:$E$6,0)),"")</f>
        <v/>
      </c>
      <c r="M85" s="23" t="str">
        <f>IF($G85="","",MEDIAN(참조데이터!$H$1,참조데이터!$H$2,$G85+3*IF($G85=참조데이터!$H$1,1,-1)))</f>
        <v/>
      </c>
      <c r="N85" s="20" t="str">
        <f>IFERROR(INDEX(참조데이터!$D$2:$D$6,MATCH($O85,참조데이터!$E$2:$E$6,0)),"")</f>
        <v/>
      </c>
      <c r="O85" s="22" t="str">
        <f>IF($G85="","",MEDIAN(참조데이터!$H$1,참조데이터!$H$2,$G85+4*IF($G85=참조데이터!$H$1,1,-1)))</f>
        <v/>
      </c>
      <c r="P85" s="17"/>
      <c r="Q85" s="20"/>
      <c r="R85" s="24"/>
      <c r="S85" s="35" t="str">
        <f>IF($D85="","",IF($D85=참조데이터!$A$3,"",IFERROR(IF(VLOOKUP($D85,참조데이터!$A$1:$C$3,3,FALSE)="",1,VLOOKUP($D85,참조데이터!$A$1:$C$3,3,FALSE)),1)))</f>
        <v/>
      </c>
      <c r="T85" s="36" t="str">
        <f>IF($D85="","",IFERROR(VLOOKUP($D85,참조데이터!$A$9:$B$11,2,FALSE),""))</f>
        <v/>
      </c>
      <c r="U85" s="17"/>
    </row>
    <row r="86" spans="1:21" ht="22.05" customHeight="1" x14ac:dyDescent="0.4">
      <c r="A86" s="44"/>
      <c r="B86" s="48"/>
      <c r="C86" s="14"/>
      <c r="D86" s="15"/>
      <c r="E86" s="16"/>
      <c r="F86" s="17" t="str">
        <f>IFERROR(INDEX(참조데이터!$D$2:$D$6,MATCH($G86,참조데이터!$E$2:$E$6,0)),"")</f>
        <v/>
      </c>
      <c r="G86" s="23" t="str">
        <f>IF($D86="척도형",참조데이터!$E$2,"")</f>
        <v/>
      </c>
      <c r="H86" s="19" t="str">
        <f>IFERROR(INDEX(참조데이터!$D$2:$D$6,MATCH($I86,참조데이터!$E$2:$E$6,0)),"")</f>
        <v/>
      </c>
      <c r="I86" s="23" t="str">
        <f>IF($G86="","",MEDIAN(참조데이터!$H$1,참조데이터!$H$2,$G86+1*IF($G86=참조데이터!$H$1,1,-1)))</f>
        <v/>
      </c>
      <c r="J86" s="19" t="str">
        <f>IFERROR(INDEX(참조데이터!$D$2:$D$6,MATCH($K86,참조데이터!$E$2:$E$6,0)),"")</f>
        <v/>
      </c>
      <c r="K86" s="23" t="str">
        <f>IF($G86="","",MEDIAN(참조데이터!$H$1,참조데이터!$H$2,$G86+2*IF($G86=참조데이터!$H$1,1,-1)))</f>
        <v/>
      </c>
      <c r="L86" s="19" t="str">
        <f>IFERROR(INDEX(참조데이터!$D$2:$D$6,MATCH($M86,참조데이터!$E$2:$E$6,0)),"")</f>
        <v/>
      </c>
      <c r="M86" s="23" t="str">
        <f>IF($G86="","",MEDIAN(참조데이터!$H$1,참조데이터!$H$2,$G86+3*IF($G86=참조데이터!$H$1,1,-1)))</f>
        <v/>
      </c>
      <c r="N86" s="20" t="str">
        <f>IFERROR(INDEX(참조데이터!$D$2:$D$6,MATCH($O86,참조데이터!$E$2:$E$6,0)),"")</f>
        <v/>
      </c>
      <c r="O86" s="22" t="str">
        <f>IF($G86="","",MEDIAN(참조데이터!$H$1,참조데이터!$H$2,$G86+4*IF($G86=참조데이터!$H$1,1,-1)))</f>
        <v/>
      </c>
      <c r="P86" s="17"/>
      <c r="Q86" s="20"/>
      <c r="R86" s="24"/>
      <c r="S86" s="35" t="str">
        <f>IF($D86="","",IF($D86=참조데이터!$A$3,"",IFERROR(IF(VLOOKUP($D86,참조데이터!$A$1:$C$3,3,FALSE)="",1,VLOOKUP($D86,참조데이터!$A$1:$C$3,3,FALSE)),1)))</f>
        <v/>
      </c>
      <c r="T86" s="36" t="str">
        <f>IF($D86="","",IFERROR(VLOOKUP($D86,참조데이터!$A$9:$B$11,2,FALSE),""))</f>
        <v/>
      </c>
      <c r="U86" s="17"/>
    </row>
    <row r="87" spans="1:21" ht="22.05" customHeight="1" x14ac:dyDescent="0.4">
      <c r="A87" s="44"/>
      <c r="B87" s="48"/>
      <c r="C87" s="14"/>
      <c r="D87" s="15"/>
      <c r="E87" s="16"/>
      <c r="F87" s="17" t="str">
        <f>IFERROR(INDEX(참조데이터!$D$2:$D$6,MATCH($G87,참조데이터!$E$2:$E$6,0)),"")</f>
        <v/>
      </c>
      <c r="G87" s="23" t="str">
        <f>IF($D87="척도형",참조데이터!$E$2,"")</f>
        <v/>
      </c>
      <c r="H87" s="19" t="str">
        <f>IFERROR(INDEX(참조데이터!$D$2:$D$6,MATCH($I87,참조데이터!$E$2:$E$6,0)),"")</f>
        <v/>
      </c>
      <c r="I87" s="23" t="str">
        <f>IF($G87="","",MEDIAN(참조데이터!$H$1,참조데이터!$H$2,$G87+1*IF($G87=참조데이터!$H$1,1,-1)))</f>
        <v/>
      </c>
      <c r="J87" s="19" t="str">
        <f>IFERROR(INDEX(참조데이터!$D$2:$D$6,MATCH($K87,참조데이터!$E$2:$E$6,0)),"")</f>
        <v/>
      </c>
      <c r="K87" s="23" t="str">
        <f>IF($G87="","",MEDIAN(참조데이터!$H$1,참조데이터!$H$2,$G87+2*IF($G87=참조데이터!$H$1,1,-1)))</f>
        <v/>
      </c>
      <c r="L87" s="19" t="str">
        <f>IFERROR(INDEX(참조데이터!$D$2:$D$6,MATCH($M87,참조데이터!$E$2:$E$6,0)),"")</f>
        <v/>
      </c>
      <c r="M87" s="23" t="str">
        <f>IF($G87="","",MEDIAN(참조데이터!$H$1,참조데이터!$H$2,$G87+3*IF($G87=참조데이터!$H$1,1,-1)))</f>
        <v/>
      </c>
      <c r="N87" s="20" t="str">
        <f>IFERROR(INDEX(참조데이터!$D$2:$D$6,MATCH($O87,참조데이터!$E$2:$E$6,0)),"")</f>
        <v/>
      </c>
      <c r="O87" s="22" t="str">
        <f>IF($G87="","",MEDIAN(참조데이터!$H$1,참조데이터!$H$2,$G87+4*IF($G87=참조데이터!$H$1,1,-1)))</f>
        <v/>
      </c>
      <c r="P87" s="17"/>
      <c r="Q87" s="20"/>
      <c r="R87" s="24"/>
      <c r="S87" s="35" t="str">
        <f>IF($D87="","",IF($D87=참조데이터!$A$3,"",IFERROR(IF(VLOOKUP($D87,참조데이터!$A$1:$C$3,3,FALSE)="",1,VLOOKUP($D87,참조데이터!$A$1:$C$3,3,FALSE)),1)))</f>
        <v/>
      </c>
      <c r="T87" s="36" t="str">
        <f>IF($D87="","",IFERROR(VLOOKUP($D87,참조데이터!$A$9:$B$11,2,FALSE),""))</f>
        <v/>
      </c>
      <c r="U87" s="17"/>
    </row>
    <row r="88" spans="1:21" ht="22.05" customHeight="1" x14ac:dyDescent="0.4">
      <c r="A88" s="44"/>
      <c r="B88" s="48"/>
      <c r="C88" s="14"/>
      <c r="D88" s="15"/>
      <c r="E88" s="16"/>
      <c r="F88" s="17" t="str">
        <f>IFERROR(INDEX(참조데이터!$D$2:$D$6,MATCH($G88,참조데이터!$E$2:$E$6,0)),"")</f>
        <v/>
      </c>
      <c r="G88" s="23" t="str">
        <f>IF($D88="척도형",참조데이터!$E$2,"")</f>
        <v/>
      </c>
      <c r="H88" s="19" t="str">
        <f>IFERROR(INDEX(참조데이터!$D$2:$D$6,MATCH($I88,참조데이터!$E$2:$E$6,0)),"")</f>
        <v/>
      </c>
      <c r="I88" s="23" t="str">
        <f>IF($G88="","",MEDIAN(참조데이터!$H$1,참조데이터!$H$2,$G88+1*IF($G88=참조데이터!$H$1,1,-1)))</f>
        <v/>
      </c>
      <c r="J88" s="19" t="str">
        <f>IFERROR(INDEX(참조데이터!$D$2:$D$6,MATCH($K88,참조데이터!$E$2:$E$6,0)),"")</f>
        <v/>
      </c>
      <c r="K88" s="23" t="str">
        <f>IF($G88="","",MEDIAN(참조데이터!$H$1,참조데이터!$H$2,$G88+2*IF($G88=참조데이터!$H$1,1,-1)))</f>
        <v/>
      </c>
      <c r="L88" s="19" t="str">
        <f>IFERROR(INDEX(참조데이터!$D$2:$D$6,MATCH($M88,참조데이터!$E$2:$E$6,0)),"")</f>
        <v/>
      </c>
      <c r="M88" s="23" t="str">
        <f>IF($G88="","",MEDIAN(참조데이터!$H$1,참조데이터!$H$2,$G88+3*IF($G88=참조데이터!$H$1,1,-1)))</f>
        <v/>
      </c>
      <c r="N88" s="20" t="str">
        <f>IFERROR(INDEX(참조데이터!$D$2:$D$6,MATCH($O88,참조데이터!$E$2:$E$6,0)),"")</f>
        <v/>
      </c>
      <c r="O88" s="22" t="str">
        <f>IF($G88="","",MEDIAN(참조데이터!$H$1,참조데이터!$H$2,$G88+4*IF($G88=참조데이터!$H$1,1,-1)))</f>
        <v/>
      </c>
      <c r="P88" s="17"/>
      <c r="Q88" s="20"/>
      <c r="R88" s="24"/>
      <c r="S88" s="35" t="str">
        <f>IF($D88="","",IF($D88=참조데이터!$A$3,"",IFERROR(IF(VLOOKUP($D88,참조데이터!$A$1:$C$3,3,FALSE)="",1,VLOOKUP($D88,참조데이터!$A$1:$C$3,3,FALSE)),1)))</f>
        <v/>
      </c>
      <c r="T88" s="36" t="str">
        <f>IF($D88="","",IFERROR(VLOOKUP($D88,참조데이터!$A$9:$B$11,2,FALSE),""))</f>
        <v/>
      </c>
      <c r="U88" s="17"/>
    </row>
    <row r="89" spans="1:21" ht="22.05" customHeight="1" x14ac:dyDescent="0.4">
      <c r="A89" s="44"/>
      <c r="B89" s="48"/>
      <c r="C89" s="14"/>
      <c r="D89" s="15"/>
      <c r="E89" s="16"/>
      <c r="F89" s="17" t="str">
        <f>IFERROR(INDEX(참조데이터!$D$2:$D$6,MATCH($G89,참조데이터!$E$2:$E$6,0)),"")</f>
        <v/>
      </c>
      <c r="G89" s="23" t="str">
        <f>IF($D89="척도형",참조데이터!$E$2,"")</f>
        <v/>
      </c>
      <c r="H89" s="19" t="str">
        <f>IFERROR(INDEX(참조데이터!$D$2:$D$6,MATCH($I89,참조데이터!$E$2:$E$6,0)),"")</f>
        <v/>
      </c>
      <c r="I89" s="23" t="str">
        <f>IF($G89="","",MEDIAN(참조데이터!$H$1,참조데이터!$H$2,$G89+1*IF($G89=참조데이터!$H$1,1,-1)))</f>
        <v/>
      </c>
      <c r="J89" s="19" t="str">
        <f>IFERROR(INDEX(참조데이터!$D$2:$D$6,MATCH($K89,참조데이터!$E$2:$E$6,0)),"")</f>
        <v/>
      </c>
      <c r="K89" s="23" t="str">
        <f>IF($G89="","",MEDIAN(참조데이터!$H$1,참조데이터!$H$2,$G89+2*IF($G89=참조데이터!$H$1,1,-1)))</f>
        <v/>
      </c>
      <c r="L89" s="19" t="str">
        <f>IFERROR(INDEX(참조데이터!$D$2:$D$6,MATCH($M89,참조데이터!$E$2:$E$6,0)),"")</f>
        <v/>
      </c>
      <c r="M89" s="23" t="str">
        <f>IF($G89="","",MEDIAN(참조데이터!$H$1,참조데이터!$H$2,$G89+3*IF($G89=참조데이터!$H$1,1,-1)))</f>
        <v/>
      </c>
      <c r="N89" s="20" t="str">
        <f>IFERROR(INDEX(참조데이터!$D$2:$D$6,MATCH($O89,참조데이터!$E$2:$E$6,0)),"")</f>
        <v/>
      </c>
      <c r="O89" s="22" t="str">
        <f>IF($G89="","",MEDIAN(참조데이터!$H$1,참조데이터!$H$2,$G89+4*IF($G89=참조데이터!$H$1,1,-1)))</f>
        <v/>
      </c>
      <c r="P89" s="17"/>
      <c r="Q89" s="20"/>
      <c r="R89" s="24"/>
      <c r="S89" s="35" t="str">
        <f>IF($D89="","",IF($D89=참조데이터!$A$3,"",IFERROR(IF(VLOOKUP($D89,참조데이터!$A$1:$C$3,3,FALSE)="",1,VLOOKUP($D89,참조데이터!$A$1:$C$3,3,FALSE)),1)))</f>
        <v/>
      </c>
      <c r="T89" s="36" t="str">
        <f>IF($D89="","",IFERROR(VLOOKUP($D89,참조데이터!$A$9:$B$11,2,FALSE),""))</f>
        <v/>
      </c>
      <c r="U89" s="17"/>
    </row>
    <row r="90" spans="1:21" ht="22.05" customHeight="1" x14ac:dyDescent="0.4">
      <c r="A90" s="44"/>
      <c r="B90" s="48"/>
      <c r="C90" s="14"/>
      <c r="D90" s="15"/>
      <c r="E90" s="16"/>
      <c r="F90" s="17" t="str">
        <f>IFERROR(INDEX(참조데이터!$D$2:$D$6,MATCH($G90,참조데이터!$E$2:$E$6,0)),"")</f>
        <v/>
      </c>
      <c r="G90" s="23" t="str">
        <f>IF($D90="척도형",참조데이터!$E$2,"")</f>
        <v/>
      </c>
      <c r="H90" s="19" t="str">
        <f>IFERROR(INDEX(참조데이터!$D$2:$D$6,MATCH($I90,참조데이터!$E$2:$E$6,0)),"")</f>
        <v/>
      </c>
      <c r="I90" s="23" t="str">
        <f>IF($G90="","",MEDIAN(참조데이터!$H$1,참조데이터!$H$2,$G90+1*IF($G90=참조데이터!$H$1,1,-1)))</f>
        <v/>
      </c>
      <c r="J90" s="19" t="str">
        <f>IFERROR(INDEX(참조데이터!$D$2:$D$6,MATCH($K90,참조데이터!$E$2:$E$6,0)),"")</f>
        <v/>
      </c>
      <c r="K90" s="23" t="str">
        <f>IF($G90="","",MEDIAN(참조데이터!$H$1,참조데이터!$H$2,$G90+2*IF($G90=참조데이터!$H$1,1,-1)))</f>
        <v/>
      </c>
      <c r="L90" s="19" t="str">
        <f>IFERROR(INDEX(참조데이터!$D$2:$D$6,MATCH($M90,참조데이터!$E$2:$E$6,0)),"")</f>
        <v/>
      </c>
      <c r="M90" s="23" t="str">
        <f>IF($G90="","",MEDIAN(참조데이터!$H$1,참조데이터!$H$2,$G90+3*IF($G90=참조데이터!$H$1,1,-1)))</f>
        <v/>
      </c>
      <c r="N90" s="20" t="str">
        <f>IFERROR(INDEX(참조데이터!$D$2:$D$6,MATCH($O90,참조데이터!$E$2:$E$6,0)),"")</f>
        <v/>
      </c>
      <c r="O90" s="22" t="str">
        <f>IF($G90="","",MEDIAN(참조데이터!$H$1,참조데이터!$H$2,$G90+4*IF($G90=참조데이터!$H$1,1,-1)))</f>
        <v/>
      </c>
      <c r="P90" s="17"/>
      <c r="Q90" s="20"/>
      <c r="R90" s="24"/>
      <c r="S90" s="35" t="str">
        <f>IF($D90="","",IF($D90=참조데이터!$A$3,"",IFERROR(IF(VLOOKUP($D90,참조데이터!$A$1:$C$3,3,FALSE)="",1,VLOOKUP($D90,참조데이터!$A$1:$C$3,3,FALSE)),1)))</f>
        <v/>
      </c>
      <c r="T90" s="36" t="str">
        <f>IF($D90="","",IFERROR(VLOOKUP($D90,참조데이터!$A$9:$B$11,2,FALSE),""))</f>
        <v/>
      </c>
      <c r="U90" s="17"/>
    </row>
    <row r="91" spans="1:21" ht="22.05" customHeight="1" x14ac:dyDescent="0.4">
      <c r="A91" s="44"/>
      <c r="B91" s="48"/>
      <c r="C91" s="14"/>
      <c r="D91" s="15"/>
      <c r="E91" s="16"/>
      <c r="F91" s="17" t="str">
        <f>IFERROR(INDEX(참조데이터!$D$2:$D$6,MATCH($G91,참조데이터!$E$2:$E$6,0)),"")</f>
        <v/>
      </c>
      <c r="G91" s="23" t="str">
        <f>IF($D91="척도형",참조데이터!$E$2,"")</f>
        <v/>
      </c>
      <c r="H91" s="19" t="str">
        <f>IFERROR(INDEX(참조데이터!$D$2:$D$6,MATCH($I91,참조데이터!$E$2:$E$6,0)),"")</f>
        <v/>
      </c>
      <c r="I91" s="23" t="str">
        <f>IF($G91="","",MEDIAN(참조데이터!$H$1,참조데이터!$H$2,$G91+1*IF($G91=참조데이터!$H$1,1,-1)))</f>
        <v/>
      </c>
      <c r="J91" s="19" t="str">
        <f>IFERROR(INDEX(참조데이터!$D$2:$D$6,MATCH($K91,참조데이터!$E$2:$E$6,0)),"")</f>
        <v/>
      </c>
      <c r="K91" s="23" t="str">
        <f>IF($G91="","",MEDIAN(참조데이터!$H$1,참조데이터!$H$2,$G91+2*IF($G91=참조데이터!$H$1,1,-1)))</f>
        <v/>
      </c>
      <c r="L91" s="19" t="str">
        <f>IFERROR(INDEX(참조데이터!$D$2:$D$6,MATCH($M91,참조데이터!$E$2:$E$6,0)),"")</f>
        <v/>
      </c>
      <c r="M91" s="23" t="str">
        <f>IF($G91="","",MEDIAN(참조데이터!$H$1,참조데이터!$H$2,$G91+3*IF($G91=참조데이터!$H$1,1,-1)))</f>
        <v/>
      </c>
      <c r="N91" s="20" t="str">
        <f>IFERROR(INDEX(참조데이터!$D$2:$D$6,MATCH($O91,참조데이터!$E$2:$E$6,0)),"")</f>
        <v/>
      </c>
      <c r="O91" s="22" t="str">
        <f>IF($G91="","",MEDIAN(참조데이터!$H$1,참조데이터!$H$2,$G91+4*IF($G91=참조데이터!$H$1,1,-1)))</f>
        <v/>
      </c>
      <c r="P91" s="17"/>
      <c r="Q91" s="20"/>
      <c r="R91" s="24"/>
      <c r="S91" s="35" t="str">
        <f>IF($D91="","",IF($D91=참조데이터!$A$3,"",IFERROR(IF(VLOOKUP($D91,참조데이터!$A$1:$C$3,3,FALSE)="",1,VLOOKUP($D91,참조데이터!$A$1:$C$3,3,FALSE)),1)))</f>
        <v/>
      </c>
      <c r="T91" s="36" t="str">
        <f>IF($D91="","",IFERROR(VLOOKUP($D91,참조데이터!$A$9:$B$11,2,FALSE),""))</f>
        <v/>
      </c>
      <c r="U91" s="17"/>
    </row>
    <row r="92" spans="1:21" ht="22.05" customHeight="1" x14ac:dyDescent="0.4">
      <c r="A92" s="44"/>
      <c r="B92" s="48"/>
      <c r="C92" s="14"/>
      <c r="D92" s="15"/>
      <c r="E92" s="16"/>
      <c r="F92" s="17" t="str">
        <f>IFERROR(INDEX(참조데이터!$D$2:$D$6,MATCH($G92,참조데이터!$E$2:$E$6,0)),"")</f>
        <v/>
      </c>
      <c r="G92" s="23" t="str">
        <f>IF($D92="척도형",참조데이터!$E$2,"")</f>
        <v/>
      </c>
      <c r="H92" s="19" t="str">
        <f>IFERROR(INDEX(참조데이터!$D$2:$D$6,MATCH($I92,참조데이터!$E$2:$E$6,0)),"")</f>
        <v/>
      </c>
      <c r="I92" s="23" t="str">
        <f>IF($G92="","",MEDIAN(참조데이터!$H$1,참조데이터!$H$2,$G92+1*IF($G92=참조데이터!$H$1,1,-1)))</f>
        <v/>
      </c>
      <c r="J92" s="19" t="str">
        <f>IFERROR(INDEX(참조데이터!$D$2:$D$6,MATCH($K92,참조데이터!$E$2:$E$6,0)),"")</f>
        <v/>
      </c>
      <c r="K92" s="23" t="str">
        <f>IF($G92="","",MEDIAN(참조데이터!$H$1,참조데이터!$H$2,$G92+2*IF($G92=참조데이터!$H$1,1,-1)))</f>
        <v/>
      </c>
      <c r="L92" s="19" t="str">
        <f>IFERROR(INDEX(참조데이터!$D$2:$D$6,MATCH($M92,참조데이터!$E$2:$E$6,0)),"")</f>
        <v/>
      </c>
      <c r="M92" s="23" t="str">
        <f>IF($G92="","",MEDIAN(참조데이터!$H$1,참조데이터!$H$2,$G92+3*IF($G92=참조데이터!$H$1,1,-1)))</f>
        <v/>
      </c>
      <c r="N92" s="20" t="str">
        <f>IFERROR(INDEX(참조데이터!$D$2:$D$6,MATCH($O92,참조데이터!$E$2:$E$6,0)),"")</f>
        <v/>
      </c>
      <c r="O92" s="22" t="str">
        <f>IF($G92="","",MEDIAN(참조데이터!$H$1,참조데이터!$H$2,$G92+4*IF($G92=참조데이터!$H$1,1,-1)))</f>
        <v/>
      </c>
      <c r="P92" s="17"/>
      <c r="Q92" s="20"/>
      <c r="R92" s="24"/>
      <c r="S92" s="35" t="str">
        <f>IF($D92="","",IF($D92=참조데이터!$A$3,"",IFERROR(IF(VLOOKUP($D92,참조데이터!$A$1:$C$3,3,FALSE)="",1,VLOOKUP($D92,참조데이터!$A$1:$C$3,3,FALSE)),1)))</f>
        <v/>
      </c>
      <c r="T92" s="36" t="str">
        <f>IF($D92="","",IFERROR(VLOOKUP($D92,참조데이터!$A$9:$B$11,2,FALSE),""))</f>
        <v/>
      </c>
      <c r="U92" s="17"/>
    </row>
    <row r="93" spans="1:21" ht="22.05" customHeight="1" x14ac:dyDescent="0.4">
      <c r="A93" s="44"/>
      <c r="B93" s="48"/>
      <c r="C93" s="14"/>
      <c r="D93" s="15"/>
      <c r="E93" s="16"/>
      <c r="F93" s="17" t="str">
        <f>IFERROR(INDEX(참조데이터!$D$2:$D$6,MATCH($G93,참조데이터!$E$2:$E$6,0)),"")</f>
        <v/>
      </c>
      <c r="G93" s="23" t="str">
        <f>IF($D93="척도형",참조데이터!$E$2,"")</f>
        <v/>
      </c>
      <c r="H93" s="19" t="str">
        <f>IFERROR(INDEX(참조데이터!$D$2:$D$6,MATCH($I93,참조데이터!$E$2:$E$6,0)),"")</f>
        <v/>
      </c>
      <c r="I93" s="23" t="str">
        <f>IF($G93="","",MEDIAN(참조데이터!$H$1,참조데이터!$H$2,$G93+1*IF($G93=참조데이터!$H$1,1,-1)))</f>
        <v/>
      </c>
      <c r="J93" s="19" t="str">
        <f>IFERROR(INDEX(참조데이터!$D$2:$D$6,MATCH($K93,참조데이터!$E$2:$E$6,0)),"")</f>
        <v/>
      </c>
      <c r="K93" s="23" t="str">
        <f>IF($G93="","",MEDIAN(참조데이터!$H$1,참조데이터!$H$2,$G93+2*IF($G93=참조데이터!$H$1,1,-1)))</f>
        <v/>
      </c>
      <c r="L93" s="19" t="str">
        <f>IFERROR(INDEX(참조데이터!$D$2:$D$6,MATCH($M93,참조데이터!$E$2:$E$6,0)),"")</f>
        <v/>
      </c>
      <c r="M93" s="23" t="str">
        <f>IF($G93="","",MEDIAN(참조데이터!$H$1,참조데이터!$H$2,$G93+3*IF($G93=참조데이터!$H$1,1,-1)))</f>
        <v/>
      </c>
      <c r="N93" s="20" t="str">
        <f>IFERROR(INDEX(참조데이터!$D$2:$D$6,MATCH($O93,참조데이터!$E$2:$E$6,0)),"")</f>
        <v/>
      </c>
      <c r="O93" s="22" t="str">
        <f>IF($G93="","",MEDIAN(참조데이터!$H$1,참조데이터!$H$2,$G93+4*IF($G93=참조데이터!$H$1,1,-1)))</f>
        <v/>
      </c>
      <c r="P93" s="17"/>
      <c r="Q93" s="20"/>
      <c r="R93" s="24"/>
      <c r="S93" s="35" t="str">
        <f>IF($D93="","",IF($D93=참조데이터!$A$3,"",IFERROR(IF(VLOOKUP($D93,참조데이터!$A$1:$C$3,3,FALSE)="",1,VLOOKUP($D93,참조데이터!$A$1:$C$3,3,FALSE)),1)))</f>
        <v/>
      </c>
      <c r="T93" s="36" t="str">
        <f>IF($D93="","",IFERROR(VLOOKUP($D93,참조데이터!$A$9:$B$11,2,FALSE),""))</f>
        <v/>
      </c>
      <c r="U93" s="17"/>
    </row>
    <row r="94" spans="1:21" ht="22.05" customHeight="1" x14ac:dyDescent="0.4">
      <c r="A94" s="44"/>
      <c r="B94" s="48"/>
      <c r="C94" s="14"/>
      <c r="D94" s="15"/>
      <c r="E94" s="16"/>
      <c r="F94" s="17" t="str">
        <f>IFERROR(INDEX(참조데이터!$D$2:$D$6,MATCH($G94,참조데이터!$E$2:$E$6,0)),"")</f>
        <v/>
      </c>
      <c r="G94" s="23" t="str">
        <f>IF($D94="척도형",참조데이터!$E$2,"")</f>
        <v/>
      </c>
      <c r="H94" s="19" t="str">
        <f>IFERROR(INDEX(참조데이터!$D$2:$D$6,MATCH($I94,참조데이터!$E$2:$E$6,0)),"")</f>
        <v/>
      </c>
      <c r="I94" s="23" t="str">
        <f>IF($G94="","",MEDIAN(참조데이터!$H$1,참조데이터!$H$2,$G94+1*IF($G94=참조데이터!$H$1,1,-1)))</f>
        <v/>
      </c>
      <c r="J94" s="19" t="str">
        <f>IFERROR(INDEX(참조데이터!$D$2:$D$6,MATCH($K94,참조데이터!$E$2:$E$6,0)),"")</f>
        <v/>
      </c>
      <c r="K94" s="23" t="str">
        <f>IF($G94="","",MEDIAN(참조데이터!$H$1,참조데이터!$H$2,$G94+2*IF($G94=참조데이터!$H$1,1,-1)))</f>
        <v/>
      </c>
      <c r="L94" s="19" t="str">
        <f>IFERROR(INDEX(참조데이터!$D$2:$D$6,MATCH($M94,참조데이터!$E$2:$E$6,0)),"")</f>
        <v/>
      </c>
      <c r="M94" s="23" t="str">
        <f>IF($G94="","",MEDIAN(참조데이터!$H$1,참조데이터!$H$2,$G94+3*IF($G94=참조데이터!$H$1,1,-1)))</f>
        <v/>
      </c>
      <c r="N94" s="20" t="str">
        <f>IFERROR(INDEX(참조데이터!$D$2:$D$6,MATCH($O94,참조데이터!$E$2:$E$6,0)),"")</f>
        <v/>
      </c>
      <c r="O94" s="22" t="str">
        <f>IF($G94="","",MEDIAN(참조데이터!$H$1,참조데이터!$H$2,$G94+4*IF($G94=참조데이터!$H$1,1,-1)))</f>
        <v/>
      </c>
      <c r="P94" s="17"/>
      <c r="Q94" s="20"/>
      <c r="R94" s="24"/>
      <c r="S94" s="35" t="str">
        <f>IF($D94="","",IF($D94=참조데이터!$A$3,"",IFERROR(IF(VLOOKUP($D94,참조데이터!$A$1:$C$3,3,FALSE)="",1,VLOOKUP($D94,참조데이터!$A$1:$C$3,3,FALSE)),1)))</f>
        <v/>
      </c>
      <c r="T94" s="36" t="str">
        <f>IF($D94="","",IFERROR(VLOOKUP($D94,참조데이터!$A$9:$B$11,2,FALSE),""))</f>
        <v/>
      </c>
      <c r="U94" s="17"/>
    </row>
    <row r="95" spans="1:21" ht="22.05" customHeight="1" x14ac:dyDescent="0.4">
      <c r="A95" s="44"/>
      <c r="B95" s="48"/>
      <c r="C95" s="14"/>
      <c r="D95" s="15"/>
      <c r="E95" s="16"/>
      <c r="F95" s="17" t="str">
        <f>IFERROR(INDEX(참조데이터!$D$2:$D$6,MATCH($G95,참조데이터!$E$2:$E$6,0)),"")</f>
        <v/>
      </c>
      <c r="G95" s="23" t="str">
        <f>IF($D95="척도형",참조데이터!$E$2,"")</f>
        <v/>
      </c>
      <c r="H95" s="19" t="str">
        <f>IFERROR(INDEX(참조데이터!$D$2:$D$6,MATCH($I95,참조데이터!$E$2:$E$6,0)),"")</f>
        <v/>
      </c>
      <c r="I95" s="23" t="str">
        <f>IF($G95="","",MEDIAN(참조데이터!$H$1,참조데이터!$H$2,$G95+1*IF($G95=참조데이터!$H$1,1,-1)))</f>
        <v/>
      </c>
      <c r="J95" s="19" t="str">
        <f>IFERROR(INDEX(참조데이터!$D$2:$D$6,MATCH($K95,참조데이터!$E$2:$E$6,0)),"")</f>
        <v/>
      </c>
      <c r="K95" s="23" t="str">
        <f>IF($G95="","",MEDIAN(참조데이터!$H$1,참조데이터!$H$2,$G95+2*IF($G95=참조데이터!$H$1,1,-1)))</f>
        <v/>
      </c>
      <c r="L95" s="19" t="str">
        <f>IFERROR(INDEX(참조데이터!$D$2:$D$6,MATCH($M95,참조데이터!$E$2:$E$6,0)),"")</f>
        <v/>
      </c>
      <c r="M95" s="23" t="str">
        <f>IF($G95="","",MEDIAN(참조데이터!$H$1,참조데이터!$H$2,$G95+3*IF($G95=참조데이터!$H$1,1,-1)))</f>
        <v/>
      </c>
      <c r="N95" s="20" t="str">
        <f>IFERROR(INDEX(참조데이터!$D$2:$D$6,MATCH($O95,참조데이터!$E$2:$E$6,0)),"")</f>
        <v/>
      </c>
      <c r="O95" s="22" t="str">
        <f>IF($G95="","",MEDIAN(참조데이터!$H$1,참조데이터!$H$2,$G95+4*IF($G95=참조데이터!$H$1,1,-1)))</f>
        <v/>
      </c>
      <c r="P95" s="17"/>
      <c r="Q95" s="20"/>
      <c r="R95" s="24"/>
      <c r="S95" s="35" t="str">
        <f>IF($D95="","",IF($D95=참조데이터!$A$3,"",IFERROR(IF(VLOOKUP($D95,참조데이터!$A$1:$C$3,3,FALSE)="",1,VLOOKUP($D95,참조데이터!$A$1:$C$3,3,FALSE)),1)))</f>
        <v/>
      </c>
      <c r="T95" s="36" t="str">
        <f>IF($D95="","",IFERROR(VLOOKUP($D95,참조데이터!$A$9:$B$11,2,FALSE),""))</f>
        <v/>
      </c>
      <c r="U95" s="17"/>
    </row>
    <row r="96" spans="1:21" ht="22.05" customHeight="1" x14ac:dyDescent="0.4">
      <c r="A96" s="44"/>
      <c r="B96" s="48"/>
      <c r="C96" s="14"/>
      <c r="D96" s="15"/>
      <c r="E96" s="16"/>
      <c r="F96" s="17" t="str">
        <f>IFERROR(INDEX(참조데이터!$D$2:$D$6,MATCH($G96,참조데이터!$E$2:$E$6,0)),"")</f>
        <v/>
      </c>
      <c r="G96" s="23" t="str">
        <f>IF($D96="척도형",참조데이터!$E$2,"")</f>
        <v/>
      </c>
      <c r="H96" s="19" t="str">
        <f>IFERROR(INDEX(참조데이터!$D$2:$D$6,MATCH($I96,참조데이터!$E$2:$E$6,0)),"")</f>
        <v/>
      </c>
      <c r="I96" s="23" t="str">
        <f>IF($G96="","",MEDIAN(참조데이터!$H$1,참조데이터!$H$2,$G96+1*IF($G96=참조데이터!$H$1,1,-1)))</f>
        <v/>
      </c>
      <c r="J96" s="19" t="str">
        <f>IFERROR(INDEX(참조데이터!$D$2:$D$6,MATCH($K96,참조데이터!$E$2:$E$6,0)),"")</f>
        <v/>
      </c>
      <c r="K96" s="23" t="str">
        <f>IF($G96="","",MEDIAN(참조데이터!$H$1,참조데이터!$H$2,$G96+2*IF($G96=참조데이터!$H$1,1,-1)))</f>
        <v/>
      </c>
      <c r="L96" s="19" t="str">
        <f>IFERROR(INDEX(참조데이터!$D$2:$D$6,MATCH($M96,참조데이터!$E$2:$E$6,0)),"")</f>
        <v/>
      </c>
      <c r="M96" s="23" t="str">
        <f>IF($G96="","",MEDIAN(참조데이터!$H$1,참조데이터!$H$2,$G96+3*IF($G96=참조데이터!$H$1,1,-1)))</f>
        <v/>
      </c>
      <c r="N96" s="20" t="str">
        <f>IFERROR(INDEX(참조데이터!$D$2:$D$6,MATCH($O96,참조데이터!$E$2:$E$6,0)),"")</f>
        <v/>
      </c>
      <c r="O96" s="22" t="str">
        <f>IF($G96="","",MEDIAN(참조데이터!$H$1,참조데이터!$H$2,$G96+4*IF($G96=참조데이터!$H$1,1,-1)))</f>
        <v/>
      </c>
      <c r="P96" s="17"/>
      <c r="Q96" s="20"/>
      <c r="R96" s="24"/>
      <c r="S96" s="35" t="str">
        <f>IF($D96="","",IF($D96=참조데이터!$A$3,"",IFERROR(IF(VLOOKUP($D96,참조데이터!$A$1:$C$3,3,FALSE)="",1,VLOOKUP($D96,참조데이터!$A$1:$C$3,3,FALSE)),1)))</f>
        <v/>
      </c>
      <c r="T96" s="36" t="str">
        <f>IF($D96="","",IFERROR(VLOOKUP($D96,참조데이터!$A$9:$B$11,2,FALSE),""))</f>
        <v/>
      </c>
      <c r="U96" s="17"/>
    </row>
    <row r="97" spans="1:21" ht="22.05" customHeight="1" x14ac:dyDescent="0.4">
      <c r="A97" s="44"/>
      <c r="B97" s="48"/>
      <c r="C97" s="14"/>
      <c r="D97" s="15"/>
      <c r="E97" s="16"/>
      <c r="F97" s="17" t="str">
        <f>IFERROR(INDEX(참조데이터!$D$2:$D$6,MATCH($G97,참조데이터!$E$2:$E$6,0)),"")</f>
        <v/>
      </c>
      <c r="G97" s="23" t="str">
        <f>IF($D97="척도형",참조데이터!$E$2,"")</f>
        <v/>
      </c>
      <c r="H97" s="19" t="str">
        <f>IFERROR(INDEX(참조데이터!$D$2:$D$6,MATCH($I97,참조데이터!$E$2:$E$6,0)),"")</f>
        <v/>
      </c>
      <c r="I97" s="23" t="str">
        <f>IF($G97="","",MEDIAN(참조데이터!$H$1,참조데이터!$H$2,$G97+1*IF($G97=참조데이터!$H$1,1,-1)))</f>
        <v/>
      </c>
      <c r="J97" s="19" t="str">
        <f>IFERROR(INDEX(참조데이터!$D$2:$D$6,MATCH($K97,참조데이터!$E$2:$E$6,0)),"")</f>
        <v/>
      </c>
      <c r="K97" s="23" t="str">
        <f>IF($G97="","",MEDIAN(참조데이터!$H$1,참조데이터!$H$2,$G97+2*IF($G97=참조데이터!$H$1,1,-1)))</f>
        <v/>
      </c>
      <c r="L97" s="19" t="str">
        <f>IFERROR(INDEX(참조데이터!$D$2:$D$6,MATCH($M97,참조데이터!$E$2:$E$6,0)),"")</f>
        <v/>
      </c>
      <c r="M97" s="23" t="str">
        <f>IF($G97="","",MEDIAN(참조데이터!$H$1,참조데이터!$H$2,$G97+3*IF($G97=참조데이터!$H$1,1,-1)))</f>
        <v/>
      </c>
      <c r="N97" s="20" t="str">
        <f>IFERROR(INDEX(참조데이터!$D$2:$D$6,MATCH($O97,참조데이터!$E$2:$E$6,0)),"")</f>
        <v/>
      </c>
      <c r="O97" s="22" t="str">
        <f>IF($G97="","",MEDIAN(참조데이터!$H$1,참조데이터!$H$2,$G97+4*IF($G97=참조데이터!$H$1,1,-1)))</f>
        <v/>
      </c>
      <c r="P97" s="17"/>
      <c r="Q97" s="20"/>
      <c r="R97" s="24"/>
      <c r="S97" s="35" t="str">
        <f>IF($D97="","",IF($D97=참조데이터!$A$3,"",IFERROR(IF(VLOOKUP($D97,참조데이터!$A$1:$C$3,3,FALSE)="",1,VLOOKUP($D97,참조데이터!$A$1:$C$3,3,FALSE)),1)))</f>
        <v/>
      </c>
      <c r="T97" s="36" t="str">
        <f>IF($D97="","",IFERROR(VLOOKUP($D97,참조데이터!$A$9:$B$11,2,FALSE),""))</f>
        <v/>
      </c>
      <c r="U97" s="17"/>
    </row>
    <row r="98" spans="1:21" ht="22.05" customHeight="1" x14ac:dyDescent="0.4">
      <c r="A98" s="44"/>
      <c r="B98" s="48"/>
      <c r="C98" s="14"/>
      <c r="D98" s="15"/>
      <c r="E98" s="16"/>
      <c r="F98" s="17" t="str">
        <f>IFERROR(INDEX(참조데이터!$D$2:$D$6,MATCH($G98,참조데이터!$E$2:$E$6,0)),"")</f>
        <v/>
      </c>
      <c r="G98" s="23" t="str">
        <f>IF($D98="척도형",참조데이터!$E$2,"")</f>
        <v/>
      </c>
      <c r="H98" s="19" t="str">
        <f>IFERROR(INDEX(참조데이터!$D$2:$D$6,MATCH($I98,참조데이터!$E$2:$E$6,0)),"")</f>
        <v/>
      </c>
      <c r="I98" s="23" t="str">
        <f>IF($G98="","",MEDIAN(참조데이터!$H$1,참조데이터!$H$2,$G98+1*IF($G98=참조데이터!$H$1,1,-1)))</f>
        <v/>
      </c>
      <c r="J98" s="19" t="str">
        <f>IFERROR(INDEX(참조데이터!$D$2:$D$6,MATCH($K98,참조데이터!$E$2:$E$6,0)),"")</f>
        <v/>
      </c>
      <c r="K98" s="23" t="str">
        <f>IF($G98="","",MEDIAN(참조데이터!$H$1,참조데이터!$H$2,$G98+2*IF($G98=참조데이터!$H$1,1,-1)))</f>
        <v/>
      </c>
      <c r="L98" s="19" t="str">
        <f>IFERROR(INDEX(참조데이터!$D$2:$D$6,MATCH($M98,참조데이터!$E$2:$E$6,0)),"")</f>
        <v/>
      </c>
      <c r="M98" s="23" t="str">
        <f>IF($G98="","",MEDIAN(참조데이터!$H$1,참조데이터!$H$2,$G98+3*IF($G98=참조데이터!$H$1,1,-1)))</f>
        <v/>
      </c>
      <c r="N98" s="20" t="str">
        <f>IFERROR(INDEX(참조데이터!$D$2:$D$6,MATCH($O98,참조데이터!$E$2:$E$6,0)),"")</f>
        <v/>
      </c>
      <c r="O98" s="22" t="str">
        <f>IF($G98="","",MEDIAN(참조데이터!$H$1,참조데이터!$H$2,$G98+4*IF($G98=참조데이터!$H$1,1,-1)))</f>
        <v/>
      </c>
      <c r="P98" s="17"/>
      <c r="Q98" s="20"/>
      <c r="R98" s="24"/>
      <c r="S98" s="35" t="str">
        <f>IF($D98="","",IF($D98=참조데이터!$A$3,"",IFERROR(IF(VLOOKUP($D98,참조데이터!$A$1:$C$3,3,FALSE)="",1,VLOOKUP($D98,참조데이터!$A$1:$C$3,3,FALSE)),1)))</f>
        <v/>
      </c>
      <c r="T98" s="36" t="str">
        <f>IF($D98="","",IFERROR(VLOOKUP($D98,참조데이터!$A$9:$B$11,2,FALSE),""))</f>
        <v/>
      </c>
      <c r="U98" s="17"/>
    </row>
    <row r="99" spans="1:21" ht="22.05" customHeight="1" x14ac:dyDescent="0.4">
      <c r="A99" s="44"/>
      <c r="B99" s="48"/>
      <c r="C99" s="14"/>
      <c r="D99" s="15"/>
      <c r="E99" s="16"/>
      <c r="F99" s="17" t="str">
        <f>IFERROR(INDEX(참조데이터!$D$2:$D$6,MATCH($G99,참조데이터!$E$2:$E$6,0)),"")</f>
        <v/>
      </c>
      <c r="G99" s="23" t="str">
        <f>IF($D99="척도형",참조데이터!$E$2,"")</f>
        <v/>
      </c>
      <c r="H99" s="19" t="str">
        <f>IFERROR(INDEX(참조데이터!$D$2:$D$6,MATCH($I99,참조데이터!$E$2:$E$6,0)),"")</f>
        <v/>
      </c>
      <c r="I99" s="23" t="str">
        <f>IF($G99="","",MEDIAN(참조데이터!$H$1,참조데이터!$H$2,$G99+1*IF($G99=참조데이터!$H$1,1,-1)))</f>
        <v/>
      </c>
      <c r="J99" s="19" t="str">
        <f>IFERROR(INDEX(참조데이터!$D$2:$D$6,MATCH($K99,참조데이터!$E$2:$E$6,0)),"")</f>
        <v/>
      </c>
      <c r="K99" s="23" t="str">
        <f>IF($G99="","",MEDIAN(참조데이터!$H$1,참조데이터!$H$2,$G99+2*IF($G99=참조데이터!$H$1,1,-1)))</f>
        <v/>
      </c>
      <c r="L99" s="19" t="str">
        <f>IFERROR(INDEX(참조데이터!$D$2:$D$6,MATCH($M99,참조데이터!$E$2:$E$6,0)),"")</f>
        <v/>
      </c>
      <c r="M99" s="23" t="str">
        <f>IF($G99="","",MEDIAN(참조데이터!$H$1,참조데이터!$H$2,$G99+3*IF($G99=참조데이터!$H$1,1,-1)))</f>
        <v/>
      </c>
      <c r="N99" s="20" t="str">
        <f>IFERROR(INDEX(참조데이터!$D$2:$D$6,MATCH($O99,참조데이터!$E$2:$E$6,0)),"")</f>
        <v/>
      </c>
      <c r="O99" s="22" t="str">
        <f>IF($G99="","",MEDIAN(참조데이터!$H$1,참조데이터!$H$2,$G99+4*IF($G99=참조데이터!$H$1,1,-1)))</f>
        <v/>
      </c>
      <c r="P99" s="17"/>
      <c r="Q99" s="20"/>
      <c r="R99" s="24"/>
      <c r="S99" s="35" t="str">
        <f>IF($D99="","",IF($D99=참조데이터!$A$3,"",IFERROR(IF(VLOOKUP($D99,참조데이터!$A$1:$C$3,3,FALSE)="",1,VLOOKUP($D99,참조데이터!$A$1:$C$3,3,FALSE)),1)))</f>
        <v/>
      </c>
      <c r="T99" s="36" t="str">
        <f>IF($D99="","",IFERROR(VLOOKUP($D99,참조데이터!$A$9:$B$11,2,FALSE),""))</f>
        <v/>
      </c>
      <c r="U99" s="17"/>
    </row>
    <row r="100" spans="1:21" ht="22.05" customHeight="1" x14ac:dyDescent="0.4">
      <c r="A100" s="44"/>
      <c r="B100" s="48"/>
      <c r="C100" s="14"/>
      <c r="D100" s="15"/>
      <c r="E100" s="16"/>
      <c r="F100" s="17" t="str">
        <f>IFERROR(INDEX(참조데이터!$D$2:$D$6,MATCH($G100,참조데이터!$E$2:$E$6,0)),"")</f>
        <v/>
      </c>
      <c r="G100" s="23" t="str">
        <f>IF($D100="척도형",참조데이터!$E$2,"")</f>
        <v/>
      </c>
      <c r="H100" s="19" t="str">
        <f>IFERROR(INDEX(참조데이터!$D$2:$D$6,MATCH($I100,참조데이터!$E$2:$E$6,0)),"")</f>
        <v/>
      </c>
      <c r="I100" s="23" t="str">
        <f>IF($G100="","",MEDIAN(참조데이터!$H$1,참조데이터!$H$2,$G100+1*IF($G100=참조데이터!$H$1,1,-1)))</f>
        <v/>
      </c>
      <c r="J100" s="19" t="str">
        <f>IFERROR(INDEX(참조데이터!$D$2:$D$6,MATCH($K100,참조데이터!$E$2:$E$6,0)),"")</f>
        <v/>
      </c>
      <c r="K100" s="23" t="str">
        <f>IF($G100="","",MEDIAN(참조데이터!$H$1,참조데이터!$H$2,$G100+2*IF($G100=참조데이터!$H$1,1,-1)))</f>
        <v/>
      </c>
      <c r="L100" s="19" t="str">
        <f>IFERROR(INDEX(참조데이터!$D$2:$D$6,MATCH($M100,참조데이터!$E$2:$E$6,0)),"")</f>
        <v/>
      </c>
      <c r="M100" s="23" t="str">
        <f>IF($G100="","",MEDIAN(참조데이터!$H$1,참조데이터!$H$2,$G100+3*IF($G100=참조데이터!$H$1,1,-1)))</f>
        <v/>
      </c>
      <c r="N100" s="20" t="str">
        <f>IFERROR(INDEX(참조데이터!$D$2:$D$6,MATCH($O100,참조데이터!$E$2:$E$6,0)),"")</f>
        <v/>
      </c>
      <c r="O100" s="22" t="str">
        <f>IF($G100="","",MEDIAN(참조데이터!$H$1,참조데이터!$H$2,$G100+4*IF($G100=참조데이터!$H$1,1,-1)))</f>
        <v/>
      </c>
      <c r="P100" s="17"/>
      <c r="Q100" s="20"/>
      <c r="R100" s="24"/>
      <c r="S100" s="35" t="str">
        <f>IF($D100="","",IF($D100=참조데이터!$A$3,"",IFERROR(IF(VLOOKUP($D100,참조데이터!$A$1:$C$3,3,FALSE)="",1,VLOOKUP($D100,참조데이터!$A$1:$C$3,3,FALSE)),1)))</f>
        <v/>
      </c>
      <c r="T100" s="36" t="str">
        <f>IF($D100="","",IFERROR(VLOOKUP($D100,참조데이터!$A$9:$B$11,2,FALSE),""))</f>
        <v/>
      </c>
      <c r="U100" s="17"/>
    </row>
    <row r="101" spans="1:21" ht="22.05" customHeight="1" x14ac:dyDescent="0.4">
      <c r="A101" s="44"/>
      <c r="B101" s="48"/>
      <c r="C101" s="14"/>
      <c r="D101" s="15"/>
      <c r="E101" s="16"/>
      <c r="F101" s="17" t="str">
        <f>IFERROR(INDEX(참조데이터!$D$2:$D$6,MATCH($G101,참조데이터!$E$2:$E$6,0)),"")</f>
        <v/>
      </c>
      <c r="G101" s="23" t="str">
        <f>IF($D101="척도형",참조데이터!$E$2,"")</f>
        <v/>
      </c>
      <c r="H101" s="19" t="str">
        <f>IFERROR(INDEX(참조데이터!$D$2:$D$6,MATCH($I101,참조데이터!$E$2:$E$6,0)),"")</f>
        <v/>
      </c>
      <c r="I101" s="23" t="str">
        <f>IF($G101="","",MEDIAN(참조데이터!$H$1,참조데이터!$H$2,$G101+1*IF($G101=참조데이터!$H$1,1,-1)))</f>
        <v/>
      </c>
      <c r="J101" s="19" t="str">
        <f>IFERROR(INDEX(참조데이터!$D$2:$D$6,MATCH($K101,참조데이터!$E$2:$E$6,0)),"")</f>
        <v/>
      </c>
      <c r="K101" s="23" t="str">
        <f>IF($G101="","",MEDIAN(참조데이터!$H$1,참조데이터!$H$2,$G101+2*IF($G101=참조데이터!$H$1,1,-1)))</f>
        <v/>
      </c>
      <c r="L101" s="19" t="str">
        <f>IFERROR(INDEX(참조데이터!$D$2:$D$6,MATCH($M101,참조데이터!$E$2:$E$6,0)),"")</f>
        <v/>
      </c>
      <c r="M101" s="23" t="str">
        <f>IF($G101="","",MEDIAN(참조데이터!$H$1,참조데이터!$H$2,$G101+3*IF($G101=참조데이터!$H$1,1,-1)))</f>
        <v/>
      </c>
      <c r="N101" s="20" t="str">
        <f>IFERROR(INDEX(참조데이터!$D$2:$D$6,MATCH($O101,참조데이터!$E$2:$E$6,0)),"")</f>
        <v/>
      </c>
      <c r="O101" s="22" t="str">
        <f>IF($G101="","",MEDIAN(참조데이터!$H$1,참조데이터!$H$2,$G101+4*IF($G101=참조데이터!$H$1,1,-1)))</f>
        <v/>
      </c>
      <c r="P101" s="17"/>
      <c r="Q101" s="20"/>
      <c r="R101" s="24"/>
      <c r="S101" s="35" t="str">
        <f>IF($D101="","",IF($D101=참조데이터!$A$3,"",IFERROR(IF(VLOOKUP($D101,참조데이터!$A$1:$C$3,3,FALSE)="",1,VLOOKUP($D101,참조데이터!$A$1:$C$3,3,FALSE)),1)))</f>
        <v/>
      </c>
      <c r="T101" s="36" t="str">
        <f>IF($D101="","",IFERROR(VLOOKUP($D101,참조데이터!$A$9:$B$11,2,FALSE),""))</f>
        <v/>
      </c>
      <c r="U101" s="17"/>
    </row>
    <row r="102" spans="1:21" ht="22.05" customHeight="1" x14ac:dyDescent="0.4">
      <c r="A102" s="44"/>
      <c r="B102" s="48"/>
      <c r="C102" s="14"/>
      <c r="D102" s="15"/>
      <c r="E102" s="16"/>
      <c r="F102" s="17" t="str">
        <f>IFERROR(INDEX(참조데이터!$D$2:$D$6,MATCH($G102,참조데이터!$E$2:$E$6,0)),"")</f>
        <v/>
      </c>
      <c r="G102" s="23" t="str">
        <f>IF($D102="척도형",참조데이터!$E$2,"")</f>
        <v/>
      </c>
      <c r="H102" s="19" t="str">
        <f>IFERROR(INDEX(참조데이터!$D$2:$D$6,MATCH($I102,참조데이터!$E$2:$E$6,0)),"")</f>
        <v/>
      </c>
      <c r="I102" s="23" t="str">
        <f>IF($G102="","",MEDIAN(참조데이터!$H$1,참조데이터!$H$2,$G102+1*IF($G102=참조데이터!$H$1,1,-1)))</f>
        <v/>
      </c>
      <c r="J102" s="19" t="str">
        <f>IFERROR(INDEX(참조데이터!$D$2:$D$6,MATCH($K102,참조데이터!$E$2:$E$6,0)),"")</f>
        <v/>
      </c>
      <c r="K102" s="23" t="str">
        <f>IF($G102="","",MEDIAN(참조데이터!$H$1,참조데이터!$H$2,$G102+2*IF($G102=참조데이터!$H$1,1,-1)))</f>
        <v/>
      </c>
      <c r="L102" s="19" t="str">
        <f>IFERROR(INDEX(참조데이터!$D$2:$D$6,MATCH($M102,참조데이터!$E$2:$E$6,0)),"")</f>
        <v/>
      </c>
      <c r="M102" s="23" t="str">
        <f>IF($G102="","",MEDIAN(참조데이터!$H$1,참조데이터!$H$2,$G102+3*IF($G102=참조데이터!$H$1,1,-1)))</f>
        <v/>
      </c>
      <c r="N102" s="20" t="str">
        <f>IFERROR(INDEX(참조데이터!$D$2:$D$6,MATCH($O102,참조데이터!$E$2:$E$6,0)),"")</f>
        <v/>
      </c>
      <c r="O102" s="22" t="str">
        <f>IF($G102="","",MEDIAN(참조데이터!$H$1,참조데이터!$H$2,$G102+4*IF($G102=참조데이터!$H$1,1,-1)))</f>
        <v/>
      </c>
      <c r="P102" s="17"/>
      <c r="Q102" s="20"/>
      <c r="R102" s="24"/>
      <c r="S102" s="35" t="str">
        <f>IF($D102="","",IF($D102=참조데이터!$A$3,"",IFERROR(IF(VLOOKUP($D102,참조데이터!$A$1:$C$3,3,FALSE)="",1,VLOOKUP($D102,참조데이터!$A$1:$C$3,3,FALSE)),1)))</f>
        <v/>
      </c>
      <c r="T102" s="36" t="str">
        <f>IF($D102="","",IFERROR(VLOOKUP($D102,참조데이터!$A$9:$B$11,2,FALSE),""))</f>
        <v/>
      </c>
      <c r="U102" s="17"/>
    </row>
    <row r="103" spans="1:21" ht="22.05" customHeight="1" x14ac:dyDescent="0.4">
      <c r="A103" s="44"/>
      <c r="B103" s="48"/>
      <c r="C103" s="14"/>
      <c r="D103" s="15"/>
      <c r="E103" s="16"/>
      <c r="F103" s="17" t="str">
        <f>IFERROR(INDEX(참조데이터!$D$2:$D$6,MATCH($G103,참조데이터!$E$2:$E$6,0)),"")</f>
        <v/>
      </c>
      <c r="G103" s="23" t="str">
        <f>IF($D103="척도형",참조데이터!$E$2,"")</f>
        <v/>
      </c>
      <c r="H103" s="19" t="str">
        <f>IFERROR(INDEX(참조데이터!$D$2:$D$6,MATCH($I103,참조데이터!$E$2:$E$6,0)),"")</f>
        <v/>
      </c>
      <c r="I103" s="23" t="str">
        <f>IF($G103="","",MEDIAN(참조데이터!$H$1,참조데이터!$H$2,$G103+1*IF($G103=참조데이터!$H$1,1,-1)))</f>
        <v/>
      </c>
      <c r="J103" s="19" t="str">
        <f>IFERROR(INDEX(참조데이터!$D$2:$D$6,MATCH($K103,참조데이터!$E$2:$E$6,0)),"")</f>
        <v/>
      </c>
      <c r="K103" s="23" t="str">
        <f>IF($G103="","",MEDIAN(참조데이터!$H$1,참조데이터!$H$2,$G103+2*IF($G103=참조데이터!$H$1,1,-1)))</f>
        <v/>
      </c>
      <c r="L103" s="19" t="str">
        <f>IFERROR(INDEX(참조데이터!$D$2:$D$6,MATCH($M103,참조데이터!$E$2:$E$6,0)),"")</f>
        <v/>
      </c>
      <c r="M103" s="23" t="str">
        <f>IF($G103="","",MEDIAN(참조데이터!$H$1,참조데이터!$H$2,$G103+3*IF($G103=참조데이터!$H$1,1,-1)))</f>
        <v/>
      </c>
      <c r="N103" s="20" t="str">
        <f>IFERROR(INDEX(참조데이터!$D$2:$D$6,MATCH($O103,참조데이터!$E$2:$E$6,0)),"")</f>
        <v/>
      </c>
      <c r="O103" s="22" t="str">
        <f>IF($G103="","",MEDIAN(참조데이터!$H$1,참조데이터!$H$2,$G103+4*IF($G103=참조데이터!$H$1,1,-1)))</f>
        <v/>
      </c>
      <c r="P103" s="17"/>
      <c r="Q103" s="20"/>
      <c r="R103" s="24"/>
      <c r="S103" s="35" t="str">
        <f>IF($D103="","",IF($D103=참조데이터!$A$3,"",IFERROR(IF(VLOOKUP($D103,참조데이터!$A$1:$C$3,3,FALSE)="",1,VLOOKUP($D103,참조데이터!$A$1:$C$3,3,FALSE)),1)))</f>
        <v/>
      </c>
      <c r="T103" s="36" t="str">
        <f>IF($D103="","",IFERROR(VLOOKUP($D103,참조데이터!$A$9:$B$11,2,FALSE),""))</f>
        <v/>
      </c>
      <c r="U103" s="17"/>
    </row>
    <row r="104" spans="1:21" ht="22.05" customHeight="1" x14ac:dyDescent="0.4">
      <c r="A104" s="44"/>
      <c r="B104" s="48"/>
      <c r="C104" s="14"/>
      <c r="D104" s="15"/>
      <c r="E104" s="16"/>
      <c r="F104" s="17" t="str">
        <f>IFERROR(INDEX(참조데이터!$D$2:$D$6,MATCH($G104,참조데이터!$E$2:$E$6,0)),"")</f>
        <v/>
      </c>
      <c r="G104" s="23" t="str">
        <f>IF($D104="척도형",참조데이터!$E$2,"")</f>
        <v/>
      </c>
      <c r="H104" s="19" t="str">
        <f>IFERROR(INDEX(참조데이터!$D$2:$D$6,MATCH($I104,참조데이터!$E$2:$E$6,0)),"")</f>
        <v/>
      </c>
      <c r="I104" s="23" t="str">
        <f>IF($G104="","",MEDIAN(참조데이터!$H$1,참조데이터!$H$2,$G104+1*IF($G104=참조데이터!$H$1,1,-1)))</f>
        <v/>
      </c>
      <c r="J104" s="19" t="str">
        <f>IFERROR(INDEX(참조데이터!$D$2:$D$6,MATCH($K104,참조데이터!$E$2:$E$6,0)),"")</f>
        <v/>
      </c>
      <c r="K104" s="23" t="str">
        <f>IF($G104="","",MEDIAN(참조데이터!$H$1,참조데이터!$H$2,$G104+2*IF($G104=참조데이터!$H$1,1,-1)))</f>
        <v/>
      </c>
      <c r="L104" s="19" t="str">
        <f>IFERROR(INDEX(참조데이터!$D$2:$D$6,MATCH($M104,참조데이터!$E$2:$E$6,0)),"")</f>
        <v/>
      </c>
      <c r="M104" s="23" t="str">
        <f>IF($G104="","",MEDIAN(참조데이터!$H$1,참조데이터!$H$2,$G104+3*IF($G104=참조데이터!$H$1,1,-1)))</f>
        <v/>
      </c>
      <c r="N104" s="20" t="str">
        <f>IFERROR(INDEX(참조데이터!$D$2:$D$6,MATCH($O104,참조데이터!$E$2:$E$6,0)),"")</f>
        <v/>
      </c>
      <c r="O104" s="22" t="str">
        <f>IF($G104="","",MEDIAN(참조데이터!$H$1,참조데이터!$H$2,$G104+4*IF($G104=참조데이터!$H$1,1,-1)))</f>
        <v/>
      </c>
      <c r="P104" s="17"/>
      <c r="Q104" s="20"/>
      <c r="R104" s="24"/>
      <c r="S104" s="35" t="str">
        <f>IF($D104="","",IF($D104=참조데이터!$A$3,"",IFERROR(IF(VLOOKUP($D104,참조데이터!$A$1:$C$3,3,FALSE)="",1,VLOOKUP($D104,참조데이터!$A$1:$C$3,3,FALSE)),1)))</f>
        <v/>
      </c>
      <c r="T104" s="36" t="str">
        <f>IF($D104="","",IFERROR(VLOOKUP($D104,참조데이터!$A$9:$B$11,2,FALSE),""))</f>
        <v/>
      </c>
      <c r="U104" s="17"/>
    </row>
    <row r="105" spans="1:21" ht="22.05" customHeight="1" x14ac:dyDescent="0.4">
      <c r="A105" s="44"/>
      <c r="B105" s="48"/>
      <c r="C105" s="14"/>
      <c r="D105" s="15"/>
      <c r="E105" s="16"/>
      <c r="F105" s="17" t="str">
        <f>IFERROR(INDEX(참조데이터!$D$2:$D$6,MATCH($G105,참조데이터!$E$2:$E$6,0)),"")</f>
        <v/>
      </c>
      <c r="G105" s="23" t="str">
        <f>IF($D105="척도형",참조데이터!$E$2,"")</f>
        <v/>
      </c>
      <c r="H105" s="19" t="str">
        <f>IFERROR(INDEX(참조데이터!$D$2:$D$6,MATCH($I105,참조데이터!$E$2:$E$6,0)),"")</f>
        <v/>
      </c>
      <c r="I105" s="23" t="str">
        <f>IF($G105="","",MEDIAN(참조데이터!$H$1,참조데이터!$H$2,$G105+1*IF($G105=참조데이터!$H$1,1,-1)))</f>
        <v/>
      </c>
      <c r="J105" s="19" t="str">
        <f>IFERROR(INDEX(참조데이터!$D$2:$D$6,MATCH($K105,참조데이터!$E$2:$E$6,0)),"")</f>
        <v/>
      </c>
      <c r="K105" s="23" t="str">
        <f>IF($G105="","",MEDIAN(참조데이터!$H$1,참조데이터!$H$2,$G105+2*IF($G105=참조데이터!$H$1,1,-1)))</f>
        <v/>
      </c>
      <c r="L105" s="19" t="str">
        <f>IFERROR(INDEX(참조데이터!$D$2:$D$6,MATCH($M105,참조데이터!$E$2:$E$6,0)),"")</f>
        <v/>
      </c>
      <c r="M105" s="23" t="str">
        <f>IF($G105="","",MEDIAN(참조데이터!$H$1,참조데이터!$H$2,$G105+3*IF($G105=참조데이터!$H$1,1,-1)))</f>
        <v/>
      </c>
      <c r="N105" s="20" t="str">
        <f>IFERROR(INDEX(참조데이터!$D$2:$D$6,MATCH($O105,참조데이터!$E$2:$E$6,0)),"")</f>
        <v/>
      </c>
      <c r="O105" s="22" t="str">
        <f>IF($G105="","",MEDIAN(참조데이터!$H$1,참조데이터!$H$2,$G105+4*IF($G105=참조데이터!$H$1,1,-1)))</f>
        <v/>
      </c>
      <c r="P105" s="17"/>
      <c r="Q105" s="20"/>
      <c r="R105" s="24"/>
      <c r="S105" s="35" t="str">
        <f>IF($D105="","",IF($D105=참조데이터!$A$3,"",IFERROR(IF(VLOOKUP($D105,참조데이터!$A$1:$C$3,3,FALSE)="",1,VLOOKUP($D105,참조데이터!$A$1:$C$3,3,FALSE)),1)))</f>
        <v/>
      </c>
      <c r="T105" s="36" t="str">
        <f>IF($D105="","",IFERROR(VLOOKUP($D105,참조데이터!$A$9:$B$11,2,FALSE),""))</f>
        <v/>
      </c>
      <c r="U105" s="17"/>
    </row>
    <row r="106" spans="1:21" ht="22.05" customHeight="1" x14ac:dyDescent="0.4">
      <c r="A106" s="44"/>
      <c r="B106" s="48"/>
      <c r="C106" s="14"/>
      <c r="D106" s="15"/>
      <c r="E106" s="16"/>
      <c r="F106" s="17" t="str">
        <f>IFERROR(INDEX(참조데이터!$D$2:$D$6,MATCH($G106,참조데이터!$E$2:$E$6,0)),"")</f>
        <v/>
      </c>
      <c r="G106" s="23" t="str">
        <f>IF($D106="척도형",참조데이터!$E$2,"")</f>
        <v/>
      </c>
      <c r="H106" s="19" t="str">
        <f>IFERROR(INDEX(참조데이터!$D$2:$D$6,MATCH($I106,참조데이터!$E$2:$E$6,0)),"")</f>
        <v/>
      </c>
      <c r="I106" s="23" t="str">
        <f>IF($G106="","",MEDIAN(참조데이터!$H$1,참조데이터!$H$2,$G106+1*IF($G106=참조데이터!$H$1,1,-1)))</f>
        <v/>
      </c>
      <c r="J106" s="19" t="str">
        <f>IFERROR(INDEX(참조데이터!$D$2:$D$6,MATCH($K106,참조데이터!$E$2:$E$6,0)),"")</f>
        <v/>
      </c>
      <c r="K106" s="23" t="str">
        <f>IF($G106="","",MEDIAN(참조데이터!$H$1,참조데이터!$H$2,$G106+2*IF($G106=참조데이터!$H$1,1,-1)))</f>
        <v/>
      </c>
      <c r="L106" s="19" t="str">
        <f>IFERROR(INDEX(참조데이터!$D$2:$D$6,MATCH($M106,참조데이터!$E$2:$E$6,0)),"")</f>
        <v/>
      </c>
      <c r="M106" s="23" t="str">
        <f>IF($G106="","",MEDIAN(참조데이터!$H$1,참조데이터!$H$2,$G106+3*IF($G106=참조데이터!$H$1,1,-1)))</f>
        <v/>
      </c>
      <c r="N106" s="20" t="str">
        <f>IFERROR(INDEX(참조데이터!$D$2:$D$6,MATCH($O106,참조데이터!$E$2:$E$6,0)),"")</f>
        <v/>
      </c>
      <c r="O106" s="22" t="str">
        <f>IF($G106="","",MEDIAN(참조데이터!$H$1,참조데이터!$H$2,$G106+4*IF($G106=참조데이터!$H$1,1,-1)))</f>
        <v/>
      </c>
      <c r="P106" s="17"/>
      <c r="Q106" s="20"/>
      <c r="R106" s="24"/>
      <c r="S106" s="35" t="str">
        <f>IF($D106="","",IF($D106=참조데이터!$A$3,"",IFERROR(IF(VLOOKUP($D106,참조데이터!$A$1:$C$3,3,FALSE)="",1,VLOOKUP($D106,참조데이터!$A$1:$C$3,3,FALSE)),1)))</f>
        <v/>
      </c>
      <c r="T106" s="36" t="str">
        <f>IF($D106="","",IFERROR(VLOOKUP($D106,참조데이터!$A$9:$B$11,2,FALSE),""))</f>
        <v/>
      </c>
      <c r="U106" s="17"/>
    </row>
    <row r="107" spans="1:21" ht="22.05" customHeight="1" x14ac:dyDescent="0.4">
      <c r="A107" s="44"/>
      <c r="B107" s="48"/>
      <c r="C107" s="14"/>
      <c r="D107" s="15"/>
      <c r="E107" s="16"/>
      <c r="F107" s="17" t="str">
        <f>IFERROR(INDEX(참조데이터!$D$2:$D$6,MATCH($G107,참조데이터!$E$2:$E$6,0)),"")</f>
        <v/>
      </c>
      <c r="G107" s="23" t="str">
        <f>IF($D107="척도형",참조데이터!$E$2,"")</f>
        <v/>
      </c>
      <c r="H107" s="19" t="str">
        <f>IFERROR(INDEX(참조데이터!$D$2:$D$6,MATCH($I107,참조데이터!$E$2:$E$6,0)),"")</f>
        <v/>
      </c>
      <c r="I107" s="23" t="str">
        <f>IF($G107="","",MEDIAN(참조데이터!$H$1,참조데이터!$H$2,$G107+1*IF($G107=참조데이터!$H$1,1,-1)))</f>
        <v/>
      </c>
      <c r="J107" s="19" t="str">
        <f>IFERROR(INDEX(참조데이터!$D$2:$D$6,MATCH($K107,참조데이터!$E$2:$E$6,0)),"")</f>
        <v/>
      </c>
      <c r="K107" s="23" t="str">
        <f>IF($G107="","",MEDIAN(참조데이터!$H$1,참조데이터!$H$2,$G107+2*IF($G107=참조데이터!$H$1,1,-1)))</f>
        <v/>
      </c>
      <c r="L107" s="19" t="str">
        <f>IFERROR(INDEX(참조데이터!$D$2:$D$6,MATCH($M107,참조데이터!$E$2:$E$6,0)),"")</f>
        <v/>
      </c>
      <c r="M107" s="23" t="str">
        <f>IF($G107="","",MEDIAN(참조데이터!$H$1,참조데이터!$H$2,$G107+3*IF($G107=참조데이터!$H$1,1,-1)))</f>
        <v/>
      </c>
      <c r="N107" s="20" t="str">
        <f>IFERROR(INDEX(참조데이터!$D$2:$D$6,MATCH($O107,참조데이터!$E$2:$E$6,0)),"")</f>
        <v/>
      </c>
      <c r="O107" s="22" t="str">
        <f>IF($G107="","",MEDIAN(참조데이터!$H$1,참조데이터!$H$2,$G107+4*IF($G107=참조데이터!$H$1,1,-1)))</f>
        <v/>
      </c>
      <c r="P107" s="17"/>
      <c r="Q107" s="20"/>
      <c r="R107" s="24"/>
      <c r="S107" s="35" t="str">
        <f>IF($D107="","",IF($D107=참조데이터!$A$3,"",IFERROR(IF(VLOOKUP($D107,참조데이터!$A$1:$C$3,3,FALSE)="",1,VLOOKUP($D107,참조데이터!$A$1:$C$3,3,FALSE)),1)))</f>
        <v/>
      </c>
      <c r="T107" s="36" t="str">
        <f>IF($D107="","",IFERROR(VLOOKUP($D107,참조데이터!$A$9:$B$11,2,FALSE),""))</f>
        <v/>
      </c>
      <c r="U107" s="17"/>
    </row>
    <row r="108" spans="1:21" ht="22.05" customHeight="1" x14ac:dyDescent="0.4">
      <c r="A108" s="44"/>
      <c r="B108" s="48"/>
      <c r="C108" s="14"/>
      <c r="D108" s="15"/>
      <c r="E108" s="16"/>
      <c r="F108" s="17" t="str">
        <f>IFERROR(INDEX(참조데이터!$D$2:$D$6,MATCH($G108,참조데이터!$E$2:$E$6,0)),"")</f>
        <v/>
      </c>
      <c r="G108" s="23" t="str">
        <f>IF($D108="척도형",참조데이터!$E$2,"")</f>
        <v/>
      </c>
      <c r="H108" s="19" t="str">
        <f>IFERROR(INDEX(참조데이터!$D$2:$D$6,MATCH($I108,참조데이터!$E$2:$E$6,0)),"")</f>
        <v/>
      </c>
      <c r="I108" s="23" t="str">
        <f>IF($G108="","",MEDIAN(참조데이터!$H$1,참조데이터!$H$2,$G108+1*IF($G108=참조데이터!$H$1,1,-1)))</f>
        <v/>
      </c>
      <c r="J108" s="19" t="str">
        <f>IFERROR(INDEX(참조데이터!$D$2:$D$6,MATCH($K108,참조데이터!$E$2:$E$6,0)),"")</f>
        <v/>
      </c>
      <c r="K108" s="23" t="str">
        <f>IF($G108="","",MEDIAN(참조데이터!$H$1,참조데이터!$H$2,$G108+2*IF($G108=참조데이터!$H$1,1,-1)))</f>
        <v/>
      </c>
      <c r="L108" s="19" t="str">
        <f>IFERROR(INDEX(참조데이터!$D$2:$D$6,MATCH($M108,참조데이터!$E$2:$E$6,0)),"")</f>
        <v/>
      </c>
      <c r="M108" s="23" t="str">
        <f>IF($G108="","",MEDIAN(참조데이터!$H$1,참조데이터!$H$2,$G108+3*IF($G108=참조데이터!$H$1,1,-1)))</f>
        <v/>
      </c>
      <c r="N108" s="20" t="str">
        <f>IFERROR(INDEX(참조데이터!$D$2:$D$6,MATCH($O108,참조데이터!$E$2:$E$6,0)),"")</f>
        <v/>
      </c>
      <c r="O108" s="22" t="str">
        <f>IF($G108="","",MEDIAN(참조데이터!$H$1,참조데이터!$H$2,$G108+4*IF($G108=참조데이터!$H$1,1,-1)))</f>
        <v/>
      </c>
      <c r="P108" s="17"/>
      <c r="Q108" s="20"/>
      <c r="R108" s="24"/>
      <c r="S108" s="35" t="str">
        <f>IF($D108="","",IF($D108=참조데이터!$A$3,"",IFERROR(IF(VLOOKUP($D108,참조데이터!$A$1:$C$3,3,FALSE)="",1,VLOOKUP($D108,참조데이터!$A$1:$C$3,3,FALSE)),1)))</f>
        <v/>
      </c>
      <c r="T108" s="36" t="str">
        <f>IF($D108="","",IFERROR(VLOOKUP($D108,참조데이터!$A$9:$B$11,2,FALSE),""))</f>
        <v/>
      </c>
      <c r="U108" s="17"/>
    </row>
    <row r="109" spans="1:21" ht="22.05" customHeight="1" x14ac:dyDescent="0.4">
      <c r="A109" s="44"/>
      <c r="B109" s="48"/>
      <c r="C109" s="14"/>
      <c r="D109" s="15"/>
      <c r="E109" s="16"/>
      <c r="F109" s="17" t="str">
        <f>IFERROR(INDEX(참조데이터!$D$2:$D$6,MATCH($G109,참조데이터!$E$2:$E$6,0)),"")</f>
        <v/>
      </c>
      <c r="G109" s="23" t="str">
        <f>IF($D109="척도형",참조데이터!$E$2,"")</f>
        <v/>
      </c>
      <c r="H109" s="19" t="str">
        <f>IFERROR(INDEX(참조데이터!$D$2:$D$6,MATCH($I109,참조데이터!$E$2:$E$6,0)),"")</f>
        <v/>
      </c>
      <c r="I109" s="23" t="str">
        <f>IF($G109="","",MEDIAN(참조데이터!$H$1,참조데이터!$H$2,$G109+1*IF($G109=참조데이터!$H$1,1,-1)))</f>
        <v/>
      </c>
      <c r="J109" s="19" t="str">
        <f>IFERROR(INDEX(참조데이터!$D$2:$D$6,MATCH($K109,참조데이터!$E$2:$E$6,0)),"")</f>
        <v/>
      </c>
      <c r="K109" s="23" t="str">
        <f>IF($G109="","",MEDIAN(참조데이터!$H$1,참조데이터!$H$2,$G109+2*IF($G109=참조데이터!$H$1,1,-1)))</f>
        <v/>
      </c>
      <c r="L109" s="19" t="str">
        <f>IFERROR(INDEX(참조데이터!$D$2:$D$6,MATCH($M109,참조데이터!$E$2:$E$6,0)),"")</f>
        <v/>
      </c>
      <c r="M109" s="23" t="str">
        <f>IF($G109="","",MEDIAN(참조데이터!$H$1,참조데이터!$H$2,$G109+3*IF($G109=참조데이터!$H$1,1,-1)))</f>
        <v/>
      </c>
      <c r="N109" s="20" t="str">
        <f>IFERROR(INDEX(참조데이터!$D$2:$D$6,MATCH($O109,참조데이터!$E$2:$E$6,0)),"")</f>
        <v/>
      </c>
      <c r="O109" s="22" t="str">
        <f>IF($G109="","",MEDIAN(참조데이터!$H$1,참조데이터!$H$2,$G109+4*IF($G109=참조데이터!$H$1,1,-1)))</f>
        <v/>
      </c>
      <c r="P109" s="17"/>
      <c r="Q109" s="20"/>
      <c r="R109" s="24"/>
      <c r="S109" s="35" t="str">
        <f>IF($D109="","",IF($D109=참조데이터!$A$3,"",IFERROR(IF(VLOOKUP($D109,참조데이터!$A$1:$C$3,3,FALSE)="",1,VLOOKUP($D109,참조데이터!$A$1:$C$3,3,FALSE)),1)))</f>
        <v/>
      </c>
      <c r="T109" s="36" t="str">
        <f>IF($D109="","",IFERROR(VLOOKUP($D109,참조데이터!$A$9:$B$11,2,FALSE),""))</f>
        <v/>
      </c>
      <c r="U109" s="17"/>
    </row>
    <row r="110" spans="1:21" ht="22.05" customHeight="1" x14ac:dyDescent="0.4">
      <c r="A110" s="44"/>
      <c r="B110" s="48"/>
      <c r="C110" s="14"/>
      <c r="D110" s="15"/>
      <c r="E110" s="16"/>
      <c r="F110" s="17" t="str">
        <f>IFERROR(INDEX(참조데이터!$D$2:$D$6,MATCH($G110,참조데이터!$E$2:$E$6,0)),"")</f>
        <v/>
      </c>
      <c r="G110" s="23" t="str">
        <f>IF($D110="척도형",참조데이터!$E$2,"")</f>
        <v/>
      </c>
      <c r="H110" s="19" t="str">
        <f>IFERROR(INDEX(참조데이터!$D$2:$D$6,MATCH($I110,참조데이터!$E$2:$E$6,0)),"")</f>
        <v/>
      </c>
      <c r="I110" s="23" t="str">
        <f>IF($G110="","",MEDIAN(참조데이터!$H$1,참조데이터!$H$2,$G110+1*IF($G110=참조데이터!$H$1,1,-1)))</f>
        <v/>
      </c>
      <c r="J110" s="19" t="str">
        <f>IFERROR(INDEX(참조데이터!$D$2:$D$6,MATCH($K110,참조데이터!$E$2:$E$6,0)),"")</f>
        <v/>
      </c>
      <c r="K110" s="23" t="str">
        <f>IF($G110="","",MEDIAN(참조데이터!$H$1,참조데이터!$H$2,$G110+2*IF($G110=참조데이터!$H$1,1,-1)))</f>
        <v/>
      </c>
      <c r="L110" s="19" t="str">
        <f>IFERROR(INDEX(참조데이터!$D$2:$D$6,MATCH($M110,참조데이터!$E$2:$E$6,0)),"")</f>
        <v/>
      </c>
      <c r="M110" s="23" t="str">
        <f>IF($G110="","",MEDIAN(참조데이터!$H$1,참조데이터!$H$2,$G110+3*IF($G110=참조데이터!$H$1,1,-1)))</f>
        <v/>
      </c>
      <c r="N110" s="20" t="str">
        <f>IFERROR(INDEX(참조데이터!$D$2:$D$6,MATCH($O110,참조데이터!$E$2:$E$6,0)),"")</f>
        <v/>
      </c>
      <c r="O110" s="22" t="str">
        <f>IF($G110="","",MEDIAN(참조데이터!$H$1,참조데이터!$H$2,$G110+4*IF($G110=참조데이터!$H$1,1,-1)))</f>
        <v/>
      </c>
      <c r="P110" s="17"/>
      <c r="Q110" s="20"/>
      <c r="R110" s="24"/>
      <c r="S110" s="35" t="str">
        <f>IF($D110="","",IF($D110=참조데이터!$A$3,"",IFERROR(IF(VLOOKUP($D110,참조데이터!$A$1:$C$3,3,FALSE)="",1,VLOOKUP($D110,참조데이터!$A$1:$C$3,3,FALSE)),1)))</f>
        <v/>
      </c>
      <c r="T110" s="36" t="str">
        <f>IF($D110="","",IFERROR(VLOOKUP($D110,참조데이터!$A$9:$B$11,2,FALSE),""))</f>
        <v/>
      </c>
      <c r="U110" s="17"/>
    </row>
    <row r="111" spans="1:21" ht="22.05" customHeight="1" x14ac:dyDescent="0.4">
      <c r="A111" s="44"/>
      <c r="B111" s="48"/>
      <c r="C111" s="14"/>
      <c r="D111" s="15"/>
      <c r="E111" s="16"/>
      <c r="F111" s="17" t="str">
        <f>IFERROR(INDEX(참조데이터!$D$2:$D$6,MATCH($G111,참조데이터!$E$2:$E$6,0)),"")</f>
        <v/>
      </c>
      <c r="G111" s="23" t="str">
        <f>IF($D111="척도형",참조데이터!$E$2,"")</f>
        <v/>
      </c>
      <c r="H111" s="19" t="str">
        <f>IFERROR(INDEX(참조데이터!$D$2:$D$6,MATCH($I111,참조데이터!$E$2:$E$6,0)),"")</f>
        <v/>
      </c>
      <c r="I111" s="23" t="str">
        <f>IF($G111="","",MEDIAN(참조데이터!$H$1,참조데이터!$H$2,$G111+1*IF($G111=참조데이터!$H$1,1,-1)))</f>
        <v/>
      </c>
      <c r="J111" s="19" t="str">
        <f>IFERROR(INDEX(참조데이터!$D$2:$D$6,MATCH($K111,참조데이터!$E$2:$E$6,0)),"")</f>
        <v/>
      </c>
      <c r="K111" s="23" t="str">
        <f>IF($G111="","",MEDIAN(참조데이터!$H$1,참조데이터!$H$2,$G111+2*IF($G111=참조데이터!$H$1,1,-1)))</f>
        <v/>
      </c>
      <c r="L111" s="19" t="str">
        <f>IFERROR(INDEX(참조데이터!$D$2:$D$6,MATCH($M111,참조데이터!$E$2:$E$6,0)),"")</f>
        <v/>
      </c>
      <c r="M111" s="23" t="str">
        <f>IF($G111="","",MEDIAN(참조데이터!$H$1,참조데이터!$H$2,$G111+3*IF($G111=참조데이터!$H$1,1,-1)))</f>
        <v/>
      </c>
      <c r="N111" s="20" t="str">
        <f>IFERROR(INDEX(참조데이터!$D$2:$D$6,MATCH($O111,참조데이터!$E$2:$E$6,0)),"")</f>
        <v/>
      </c>
      <c r="O111" s="22" t="str">
        <f>IF($G111="","",MEDIAN(참조데이터!$H$1,참조데이터!$H$2,$G111+4*IF($G111=참조데이터!$H$1,1,-1)))</f>
        <v/>
      </c>
      <c r="P111" s="17"/>
      <c r="Q111" s="20"/>
      <c r="R111" s="24"/>
      <c r="S111" s="35" t="str">
        <f>IF($D111="","",IF($D111=참조데이터!$A$3,"",IFERROR(IF(VLOOKUP($D111,참조데이터!$A$1:$C$3,3,FALSE)="",1,VLOOKUP($D111,참조데이터!$A$1:$C$3,3,FALSE)),1)))</f>
        <v/>
      </c>
      <c r="T111" s="36" t="str">
        <f>IF($D111="","",IFERROR(VLOOKUP($D111,참조데이터!$A$9:$B$11,2,FALSE),""))</f>
        <v/>
      </c>
      <c r="U111" s="17"/>
    </row>
    <row r="112" spans="1:21" ht="22.05" customHeight="1" x14ac:dyDescent="0.4">
      <c r="A112" s="44"/>
      <c r="B112" s="48"/>
      <c r="C112" s="14"/>
      <c r="D112" s="15"/>
      <c r="E112" s="16"/>
      <c r="F112" s="17" t="str">
        <f>IFERROR(INDEX(참조데이터!$D$2:$D$6,MATCH($G112,참조데이터!$E$2:$E$6,0)),"")</f>
        <v/>
      </c>
      <c r="G112" s="23" t="str">
        <f>IF($D112="척도형",참조데이터!$E$2,"")</f>
        <v/>
      </c>
      <c r="H112" s="19" t="str">
        <f>IFERROR(INDEX(참조데이터!$D$2:$D$6,MATCH($I112,참조데이터!$E$2:$E$6,0)),"")</f>
        <v/>
      </c>
      <c r="I112" s="23" t="str">
        <f>IF($G112="","",MEDIAN(참조데이터!$H$1,참조데이터!$H$2,$G112+1*IF($G112=참조데이터!$H$1,1,-1)))</f>
        <v/>
      </c>
      <c r="J112" s="19" t="str">
        <f>IFERROR(INDEX(참조데이터!$D$2:$D$6,MATCH($K112,참조데이터!$E$2:$E$6,0)),"")</f>
        <v/>
      </c>
      <c r="K112" s="23" t="str">
        <f>IF($G112="","",MEDIAN(참조데이터!$H$1,참조데이터!$H$2,$G112+2*IF($G112=참조데이터!$H$1,1,-1)))</f>
        <v/>
      </c>
      <c r="L112" s="19" t="str">
        <f>IFERROR(INDEX(참조데이터!$D$2:$D$6,MATCH($M112,참조데이터!$E$2:$E$6,0)),"")</f>
        <v/>
      </c>
      <c r="M112" s="23" t="str">
        <f>IF($G112="","",MEDIAN(참조데이터!$H$1,참조데이터!$H$2,$G112+3*IF($G112=참조데이터!$H$1,1,-1)))</f>
        <v/>
      </c>
      <c r="N112" s="20" t="str">
        <f>IFERROR(INDEX(참조데이터!$D$2:$D$6,MATCH($O112,참조데이터!$E$2:$E$6,0)),"")</f>
        <v/>
      </c>
      <c r="O112" s="22" t="str">
        <f>IF($G112="","",MEDIAN(참조데이터!$H$1,참조데이터!$H$2,$G112+4*IF($G112=참조데이터!$H$1,1,-1)))</f>
        <v/>
      </c>
      <c r="P112" s="17"/>
      <c r="Q112" s="20"/>
      <c r="R112" s="24"/>
      <c r="S112" s="35" t="str">
        <f>IF($D112="","",IF($D112=참조데이터!$A$3,"",IFERROR(IF(VLOOKUP($D112,참조데이터!$A$1:$C$3,3,FALSE)="",1,VLOOKUP($D112,참조데이터!$A$1:$C$3,3,FALSE)),1)))</f>
        <v/>
      </c>
      <c r="T112" s="36" t="str">
        <f>IF($D112="","",IFERROR(VLOOKUP($D112,참조데이터!$A$9:$B$11,2,FALSE),""))</f>
        <v/>
      </c>
      <c r="U112" s="17"/>
    </row>
    <row r="113" spans="1:21" ht="22.05" customHeight="1" x14ac:dyDescent="0.4">
      <c r="A113" s="44"/>
      <c r="B113" s="48"/>
      <c r="C113" s="14"/>
      <c r="D113" s="15"/>
      <c r="E113" s="16"/>
      <c r="F113" s="17" t="str">
        <f>IFERROR(INDEX(참조데이터!$D$2:$D$6,MATCH($G113,참조데이터!$E$2:$E$6,0)),"")</f>
        <v/>
      </c>
      <c r="G113" s="23" t="str">
        <f>IF($D113="척도형",참조데이터!$E$2,"")</f>
        <v/>
      </c>
      <c r="H113" s="19" t="str">
        <f>IFERROR(INDEX(참조데이터!$D$2:$D$6,MATCH($I113,참조데이터!$E$2:$E$6,0)),"")</f>
        <v/>
      </c>
      <c r="I113" s="23" t="str">
        <f>IF($G113="","",MEDIAN(참조데이터!$H$1,참조데이터!$H$2,$G113+1*IF($G113=참조데이터!$H$1,1,-1)))</f>
        <v/>
      </c>
      <c r="J113" s="19" t="str">
        <f>IFERROR(INDEX(참조데이터!$D$2:$D$6,MATCH($K113,참조데이터!$E$2:$E$6,0)),"")</f>
        <v/>
      </c>
      <c r="K113" s="23" t="str">
        <f>IF($G113="","",MEDIAN(참조데이터!$H$1,참조데이터!$H$2,$G113+2*IF($G113=참조데이터!$H$1,1,-1)))</f>
        <v/>
      </c>
      <c r="L113" s="19" t="str">
        <f>IFERROR(INDEX(참조데이터!$D$2:$D$6,MATCH($M113,참조데이터!$E$2:$E$6,0)),"")</f>
        <v/>
      </c>
      <c r="M113" s="23" t="str">
        <f>IF($G113="","",MEDIAN(참조데이터!$H$1,참조데이터!$H$2,$G113+3*IF($G113=참조데이터!$H$1,1,-1)))</f>
        <v/>
      </c>
      <c r="N113" s="20" t="str">
        <f>IFERROR(INDEX(참조데이터!$D$2:$D$6,MATCH($O113,참조데이터!$E$2:$E$6,0)),"")</f>
        <v/>
      </c>
      <c r="O113" s="22" t="str">
        <f>IF($G113="","",MEDIAN(참조데이터!$H$1,참조데이터!$H$2,$G113+4*IF($G113=참조데이터!$H$1,1,-1)))</f>
        <v/>
      </c>
      <c r="P113" s="17"/>
      <c r="Q113" s="20"/>
      <c r="R113" s="24"/>
      <c r="S113" s="35" t="str">
        <f>IF($D113="","",IF($D113=참조데이터!$A$3,"",IFERROR(IF(VLOOKUP($D113,참조데이터!$A$1:$C$3,3,FALSE)="",1,VLOOKUP($D113,참조데이터!$A$1:$C$3,3,FALSE)),1)))</f>
        <v/>
      </c>
      <c r="T113" s="36" t="str">
        <f>IF($D113="","",IFERROR(VLOOKUP($D113,참조데이터!$A$9:$B$11,2,FALSE),""))</f>
        <v/>
      </c>
      <c r="U113" s="17"/>
    </row>
    <row r="114" spans="1:21" ht="22.05" customHeight="1" x14ac:dyDescent="0.4">
      <c r="A114" s="44"/>
      <c r="B114" s="48"/>
      <c r="C114" s="14"/>
      <c r="D114" s="15"/>
      <c r="E114" s="16"/>
      <c r="F114" s="17" t="str">
        <f>IFERROR(INDEX(참조데이터!$D$2:$D$6,MATCH($G114,참조데이터!$E$2:$E$6,0)),"")</f>
        <v/>
      </c>
      <c r="G114" s="23" t="str">
        <f>IF($D114="척도형",참조데이터!$E$2,"")</f>
        <v/>
      </c>
      <c r="H114" s="19" t="str">
        <f>IFERROR(INDEX(참조데이터!$D$2:$D$6,MATCH($I114,참조데이터!$E$2:$E$6,0)),"")</f>
        <v/>
      </c>
      <c r="I114" s="23" t="str">
        <f>IF($G114="","",MEDIAN(참조데이터!$H$1,참조데이터!$H$2,$G114+1*IF($G114=참조데이터!$H$1,1,-1)))</f>
        <v/>
      </c>
      <c r="J114" s="19" t="str">
        <f>IFERROR(INDEX(참조데이터!$D$2:$D$6,MATCH($K114,참조데이터!$E$2:$E$6,0)),"")</f>
        <v/>
      </c>
      <c r="K114" s="23" t="str">
        <f>IF($G114="","",MEDIAN(참조데이터!$H$1,참조데이터!$H$2,$G114+2*IF($G114=참조데이터!$H$1,1,-1)))</f>
        <v/>
      </c>
      <c r="L114" s="19" t="str">
        <f>IFERROR(INDEX(참조데이터!$D$2:$D$6,MATCH($M114,참조데이터!$E$2:$E$6,0)),"")</f>
        <v/>
      </c>
      <c r="M114" s="23" t="str">
        <f>IF($G114="","",MEDIAN(참조데이터!$H$1,참조데이터!$H$2,$G114+3*IF($G114=참조데이터!$H$1,1,-1)))</f>
        <v/>
      </c>
      <c r="N114" s="20" t="str">
        <f>IFERROR(INDEX(참조데이터!$D$2:$D$6,MATCH($O114,참조데이터!$E$2:$E$6,0)),"")</f>
        <v/>
      </c>
      <c r="O114" s="22" t="str">
        <f>IF($G114="","",MEDIAN(참조데이터!$H$1,참조데이터!$H$2,$G114+4*IF($G114=참조데이터!$H$1,1,-1)))</f>
        <v/>
      </c>
      <c r="P114" s="17"/>
      <c r="Q114" s="20"/>
      <c r="R114" s="24"/>
      <c r="S114" s="35" t="str">
        <f>IF($D114="","",IF($D114=참조데이터!$A$3,"",IFERROR(IF(VLOOKUP($D114,참조데이터!$A$1:$C$3,3,FALSE)="",1,VLOOKUP($D114,참조데이터!$A$1:$C$3,3,FALSE)),1)))</f>
        <v/>
      </c>
      <c r="T114" s="36" t="str">
        <f>IF($D114="","",IFERROR(VLOOKUP($D114,참조데이터!$A$9:$B$11,2,FALSE),""))</f>
        <v/>
      </c>
      <c r="U114" s="17"/>
    </row>
    <row r="115" spans="1:21" ht="22.05" customHeight="1" x14ac:dyDescent="0.4">
      <c r="A115" s="44"/>
      <c r="B115" s="48"/>
      <c r="C115" s="14"/>
      <c r="D115" s="15"/>
      <c r="E115" s="16"/>
      <c r="F115" s="17" t="str">
        <f>IFERROR(INDEX(참조데이터!$D$2:$D$6,MATCH($G115,참조데이터!$E$2:$E$6,0)),"")</f>
        <v/>
      </c>
      <c r="G115" s="23" t="str">
        <f>IF($D115="척도형",참조데이터!$E$2,"")</f>
        <v/>
      </c>
      <c r="H115" s="19" t="str">
        <f>IFERROR(INDEX(참조데이터!$D$2:$D$6,MATCH($I115,참조데이터!$E$2:$E$6,0)),"")</f>
        <v/>
      </c>
      <c r="I115" s="23" t="str">
        <f>IF($G115="","",MEDIAN(참조데이터!$H$1,참조데이터!$H$2,$G115+1*IF($G115=참조데이터!$H$1,1,-1)))</f>
        <v/>
      </c>
      <c r="J115" s="19" t="str">
        <f>IFERROR(INDEX(참조데이터!$D$2:$D$6,MATCH($K115,참조데이터!$E$2:$E$6,0)),"")</f>
        <v/>
      </c>
      <c r="K115" s="23" t="str">
        <f>IF($G115="","",MEDIAN(참조데이터!$H$1,참조데이터!$H$2,$G115+2*IF($G115=참조데이터!$H$1,1,-1)))</f>
        <v/>
      </c>
      <c r="L115" s="19" t="str">
        <f>IFERROR(INDEX(참조데이터!$D$2:$D$6,MATCH($M115,참조데이터!$E$2:$E$6,0)),"")</f>
        <v/>
      </c>
      <c r="M115" s="23" t="str">
        <f>IF($G115="","",MEDIAN(참조데이터!$H$1,참조데이터!$H$2,$G115+3*IF($G115=참조데이터!$H$1,1,-1)))</f>
        <v/>
      </c>
      <c r="N115" s="20" t="str">
        <f>IFERROR(INDEX(참조데이터!$D$2:$D$6,MATCH($O115,참조데이터!$E$2:$E$6,0)),"")</f>
        <v/>
      </c>
      <c r="O115" s="22" t="str">
        <f>IF($G115="","",MEDIAN(참조데이터!$H$1,참조데이터!$H$2,$G115+4*IF($G115=참조데이터!$H$1,1,-1)))</f>
        <v/>
      </c>
      <c r="P115" s="17"/>
      <c r="Q115" s="20"/>
      <c r="R115" s="24"/>
      <c r="S115" s="35" t="str">
        <f>IF($D115="","",IF($D115=참조데이터!$A$3,"",IFERROR(IF(VLOOKUP($D115,참조데이터!$A$1:$C$3,3,FALSE)="",1,VLOOKUP($D115,참조데이터!$A$1:$C$3,3,FALSE)),1)))</f>
        <v/>
      </c>
      <c r="T115" s="36" t="str">
        <f>IF($D115="","",IFERROR(VLOOKUP($D115,참조데이터!$A$9:$B$11,2,FALSE),""))</f>
        <v/>
      </c>
      <c r="U115" s="17"/>
    </row>
    <row r="116" spans="1:21" ht="22.05" customHeight="1" x14ac:dyDescent="0.4">
      <c r="A116" s="44"/>
      <c r="B116" s="48"/>
      <c r="C116" s="14"/>
      <c r="D116" s="15"/>
      <c r="E116" s="16"/>
      <c r="F116" s="17" t="str">
        <f>IFERROR(INDEX(참조데이터!$D$2:$D$6,MATCH($G116,참조데이터!$E$2:$E$6,0)),"")</f>
        <v/>
      </c>
      <c r="G116" s="23" t="str">
        <f>IF($D116="척도형",참조데이터!$E$2,"")</f>
        <v/>
      </c>
      <c r="H116" s="19" t="str">
        <f>IFERROR(INDEX(참조데이터!$D$2:$D$6,MATCH($I116,참조데이터!$E$2:$E$6,0)),"")</f>
        <v/>
      </c>
      <c r="I116" s="23" t="str">
        <f>IF($G116="","",MEDIAN(참조데이터!$H$1,참조데이터!$H$2,$G116+1*IF($G116=참조데이터!$H$1,1,-1)))</f>
        <v/>
      </c>
      <c r="J116" s="19" t="str">
        <f>IFERROR(INDEX(참조데이터!$D$2:$D$6,MATCH($K116,참조데이터!$E$2:$E$6,0)),"")</f>
        <v/>
      </c>
      <c r="K116" s="23" t="str">
        <f>IF($G116="","",MEDIAN(참조데이터!$H$1,참조데이터!$H$2,$G116+2*IF($G116=참조데이터!$H$1,1,-1)))</f>
        <v/>
      </c>
      <c r="L116" s="19" t="str">
        <f>IFERROR(INDEX(참조데이터!$D$2:$D$6,MATCH($M116,참조데이터!$E$2:$E$6,0)),"")</f>
        <v/>
      </c>
      <c r="M116" s="23" t="str">
        <f>IF($G116="","",MEDIAN(참조데이터!$H$1,참조데이터!$H$2,$G116+3*IF($G116=참조데이터!$H$1,1,-1)))</f>
        <v/>
      </c>
      <c r="N116" s="20" t="str">
        <f>IFERROR(INDEX(참조데이터!$D$2:$D$6,MATCH($O116,참조데이터!$E$2:$E$6,0)),"")</f>
        <v/>
      </c>
      <c r="O116" s="22" t="str">
        <f>IF($G116="","",MEDIAN(참조데이터!$H$1,참조데이터!$H$2,$G116+4*IF($G116=참조데이터!$H$1,1,-1)))</f>
        <v/>
      </c>
      <c r="P116" s="17"/>
      <c r="Q116" s="20"/>
      <c r="R116" s="24"/>
      <c r="S116" s="35" t="str">
        <f>IF($D116="","",IF($D116=참조데이터!$A$3,"",IFERROR(IF(VLOOKUP($D116,참조데이터!$A$1:$C$3,3,FALSE)="",1,VLOOKUP($D116,참조데이터!$A$1:$C$3,3,FALSE)),1)))</f>
        <v/>
      </c>
      <c r="T116" s="36" t="str">
        <f>IF($D116="","",IFERROR(VLOOKUP($D116,참조데이터!$A$9:$B$11,2,FALSE),""))</f>
        <v/>
      </c>
      <c r="U116" s="17"/>
    </row>
    <row r="117" spans="1:21" ht="22.05" customHeight="1" x14ac:dyDescent="0.4">
      <c r="A117" s="44"/>
      <c r="B117" s="48"/>
      <c r="C117" s="14"/>
      <c r="D117" s="15"/>
      <c r="E117" s="16"/>
      <c r="F117" s="17" t="str">
        <f>IFERROR(INDEX(참조데이터!$D$2:$D$6,MATCH($G117,참조데이터!$E$2:$E$6,0)),"")</f>
        <v/>
      </c>
      <c r="G117" s="23" t="str">
        <f>IF($D117="척도형",참조데이터!$E$2,"")</f>
        <v/>
      </c>
      <c r="H117" s="19" t="str">
        <f>IFERROR(INDEX(참조데이터!$D$2:$D$6,MATCH($I117,참조데이터!$E$2:$E$6,0)),"")</f>
        <v/>
      </c>
      <c r="I117" s="23" t="str">
        <f>IF($G117="","",MEDIAN(참조데이터!$H$1,참조데이터!$H$2,$G117+1*IF($G117=참조데이터!$H$1,1,-1)))</f>
        <v/>
      </c>
      <c r="J117" s="19" t="str">
        <f>IFERROR(INDEX(참조데이터!$D$2:$D$6,MATCH($K117,참조데이터!$E$2:$E$6,0)),"")</f>
        <v/>
      </c>
      <c r="K117" s="23" t="str">
        <f>IF($G117="","",MEDIAN(참조데이터!$H$1,참조데이터!$H$2,$G117+2*IF($G117=참조데이터!$H$1,1,-1)))</f>
        <v/>
      </c>
      <c r="L117" s="19" t="str">
        <f>IFERROR(INDEX(참조데이터!$D$2:$D$6,MATCH($M117,참조데이터!$E$2:$E$6,0)),"")</f>
        <v/>
      </c>
      <c r="M117" s="23" t="str">
        <f>IF($G117="","",MEDIAN(참조데이터!$H$1,참조데이터!$H$2,$G117+3*IF($G117=참조데이터!$H$1,1,-1)))</f>
        <v/>
      </c>
      <c r="N117" s="20" t="str">
        <f>IFERROR(INDEX(참조데이터!$D$2:$D$6,MATCH($O117,참조데이터!$E$2:$E$6,0)),"")</f>
        <v/>
      </c>
      <c r="O117" s="22" t="str">
        <f>IF($G117="","",MEDIAN(참조데이터!$H$1,참조데이터!$H$2,$G117+4*IF($G117=참조데이터!$H$1,1,-1)))</f>
        <v/>
      </c>
      <c r="P117" s="17"/>
      <c r="Q117" s="20"/>
      <c r="R117" s="24"/>
      <c r="S117" s="35" t="str">
        <f>IF($D117="","",IF($D117=참조데이터!$A$3,"",IFERROR(IF(VLOOKUP($D117,참조데이터!$A$1:$C$3,3,FALSE)="",1,VLOOKUP($D117,참조데이터!$A$1:$C$3,3,FALSE)),1)))</f>
        <v/>
      </c>
      <c r="T117" s="36" t="str">
        <f>IF($D117="","",IFERROR(VLOOKUP($D117,참조데이터!$A$9:$B$11,2,FALSE),""))</f>
        <v/>
      </c>
      <c r="U117" s="17"/>
    </row>
    <row r="118" spans="1:21" ht="22.05" customHeight="1" x14ac:dyDescent="0.4">
      <c r="A118" s="44"/>
      <c r="B118" s="48"/>
      <c r="C118" s="14"/>
      <c r="D118" s="15"/>
      <c r="E118" s="16"/>
      <c r="F118" s="17" t="str">
        <f>IFERROR(INDEX(참조데이터!$D$2:$D$6,MATCH($G118,참조데이터!$E$2:$E$6,0)),"")</f>
        <v/>
      </c>
      <c r="G118" s="23" t="str">
        <f>IF($D118="척도형",참조데이터!$E$2,"")</f>
        <v/>
      </c>
      <c r="H118" s="19" t="str">
        <f>IFERROR(INDEX(참조데이터!$D$2:$D$6,MATCH($I118,참조데이터!$E$2:$E$6,0)),"")</f>
        <v/>
      </c>
      <c r="I118" s="23" t="str">
        <f>IF($G118="","",MEDIAN(참조데이터!$H$1,참조데이터!$H$2,$G118+1*IF($G118=참조데이터!$H$1,1,-1)))</f>
        <v/>
      </c>
      <c r="J118" s="19" t="str">
        <f>IFERROR(INDEX(참조데이터!$D$2:$D$6,MATCH($K118,참조데이터!$E$2:$E$6,0)),"")</f>
        <v/>
      </c>
      <c r="K118" s="23" t="str">
        <f>IF($G118="","",MEDIAN(참조데이터!$H$1,참조데이터!$H$2,$G118+2*IF($G118=참조데이터!$H$1,1,-1)))</f>
        <v/>
      </c>
      <c r="L118" s="19" t="str">
        <f>IFERROR(INDEX(참조데이터!$D$2:$D$6,MATCH($M118,참조데이터!$E$2:$E$6,0)),"")</f>
        <v/>
      </c>
      <c r="M118" s="23" t="str">
        <f>IF($G118="","",MEDIAN(참조데이터!$H$1,참조데이터!$H$2,$G118+3*IF($G118=참조데이터!$H$1,1,-1)))</f>
        <v/>
      </c>
      <c r="N118" s="20" t="str">
        <f>IFERROR(INDEX(참조데이터!$D$2:$D$6,MATCH($O118,참조데이터!$E$2:$E$6,0)),"")</f>
        <v/>
      </c>
      <c r="O118" s="22" t="str">
        <f>IF($G118="","",MEDIAN(참조데이터!$H$1,참조데이터!$H$2,$G118+4*IF($G118=참조데이터!$H$1,1,-1)))</f>
        <v/>
      </c>
      <c r="P118" s="17"/>
      <c r="Q118" s="20"/>
      <c r="R118" s="24"/>
      <c r="S118" s="35" t="str">
        <f>IF($D118="","",IF($D118=참조데이터!$A$3,"",IFERROR(IF(VLOOKUP($D118,참조데이터!$A$1:$C$3,3,FALSE)="",1,VLOOKUP($D118,참조데이터!$A$1:$C$3,3,FALSE)),1)))</f>
        <v/>
      </c>
      <c r="T118" s="36" t="str">
        <f>IF($D118="","",IFERROR(VLOOKUP($D118,참조데이터!$A$9:$B$11,2,FALSE),""))</f>
        <v/>
      </c>
      <c r="U118" s="17"/>
    </row>
    <row r="119" spans="1:21" ht="22.05" customHeight="1" x14ac:dyDescent="0.4">
      <c r="A119" s="44"/>
      <c r="B119" s="48"/>
      <c r="C119" s="14"/>
      <c r="D119" s="15"/>
      <c r="E119" s="16"/>
      <c r="F119" s="17" t="str">
        <f>IFERROR(INDEX(참조데이터!$D$2:$D$6,MATCH($G119,참조데이터!$E$2:$E$6,0)),"")</f>
        <v/>
      </c>
      <c r="G119" s="23" t="str">
        <f>IF($D119="척도형",참조데이터!$E$2,"")</f>
        <v/>
      </c>
      <c r="H119" s="19" t="str">
        <f>IFERROR(INDEX(참조데이터!$D$2:$D$6,MATCH($I119,참조데이터!$E$2:$E$6,0)),"")</f>
        <v/>
      </c>
      <c r="I119" s="23" t="str">
        <f>IF($G119="","",MEDIAN(참조데이터!$H$1,참조데이터!$H$2,$G119+1*IF($G119=참조데이터!$H$1,1,-1)))</f>
        <v/>
      </c>
      <c r="J119" s="19" t="str">
        <f>IFERROR(INDEX(참조데이터!$D$2:$D$6,MATCH($K119,참조데이터!$E$2:$E$6,0)),"")</f>
        <v/>
      </c>
      <c r="K119" s="23" t="str">
        <f>IF($G119="","",MEDIAN(참조데이터!$H$1,참조데이터!$H$2,$G119+2*IF($G119=참조데이터!$H$1,1,-1)))</f>
        <v/>
      </c>
      <c r="L119" s="19" t="str">
        <f>IFERROR(INDEX(참조데이터!$D$2:$D$6,MATCH($M119,참조데이터!$E$2:$E$6,0)),"")</f>
        <v/>
      </c>
      <c r="M119" s="23" t="str">
        <f>IF($G119="","",MEDIAN(참조데이터!$H$1,참조데이터!$H$2,$G119+3*IF($G119=참조데이터!$H$1,1,-1)))</f>
        <v/>
      </c>
      <c r="N119" s="20" t="str">
        <f>IFERROR(INDEX(참조데이터!$D$2:$D$6,MATCH($O119,참조데이터!$E$2:$E$6,0)),"")</f>
        <v/>
      </c>
      <c r="O119" s="22" t="str">
        <f>IF($G119="","",MEDIAN(참조데이터!$H$1,참조데이터!$H$2,$G119+4*IF($G119=참조데이터!$H$1,1,-1)))</f>
        <v/>
      </c>
      <c r="P119" s="17"/>
      <c r="Q119" s="20"/>
      <c r="R119" s="24"/>
      <c r="S119" s="35" t="str">
        <f>IF($D119="","",IF($D119=참조데이터!$A$3,"",IFERROR(IF(VLOOKUP($D119,참조데이터!$A$1:$C$3,3,FALSE)="",1,VLOOKUP($D119,참조데이터!$A$1:$C$3,3,FALSE)),1)))</f>
        <v/>
      </c>
      <c r="T119" s="36" t="str">
        <f>IF($D119="","",IFERROR(VLOOKUP($D119,참조데이터!$A$9:$B$11,2,FALSE),""))</f>
        <v/>
      </c>
      <c r="U119" s="17"/>
    </row>
    <row r="120" spans="1:21" ht="22.05" customHeight="1" x14ac:dyDescent="0.4">
      <c r="A120" s="44"/>
      <c r="B120" s="48"/>
      <c r="C120" s="14"/>
      <c r="D120" s="15"/>
      <c r="E120" s="16"/>
      <c r="F120" s="17" t="str">
        <f>IFERROR(INDEX(참조데이터!$D$2:$D$6,MATCH($G120,참조데이터!$E$2:$E$6,0)),"")</f>
        <v/>
      </c>
      <c r="G120" s="23" t="str">
        <f>IF($D120="척도형",참조데이터!$E$2,"")</f>
        <v/>
      </c>
      <c r="H120" s="19" t="str">
        <f>IFERROR(INDEX(참조데이터!$D$2:$D$6,MATCH($I120,참조데이터!$E$2:$E$6,0)),"")</f>
        <v/>
      </c>
      <c r="I120" s="23" t="str">
        <f>IF($G120="","",MEDIAN(참조데이터!$H$1,참조데이터!$H$2,$G120+1*IF($G120=참조데이터!$H$1,1,-1)))</f>
        <v/>
      </c>
      <c r="J120" s="19" t="str">
        <f>IFERROR(INDEX(참조데이터!$D$2:$D$6,MATCH($K120,참조데이터!$E$2:$E$6,0)),"")</f>
        <v/>
      </c>
      <c r="K120" s="23" t="str">
        <f>IF($G120="","",MEDIAN(참조데이터!$H$1,참조데이터!$H$2,$G120+2*IF($G120=참조데이터!$H$1,1,-1)))</f>
        <v/>
      </c>
      <c r="L120" s="19" t="str">
        <f>IFERROR(INDEX(참조데이터!$D$2:$D$6,MATCH($M120,참조데이터!$E$2:$E$6,0)),"")</f>
        <v/>
      </c>
      <c r="M120" s="23" t="str">
        <f>IF($G120="","",MEDIAN(참조데이터!$H$1,참조데이터!$H$2,$G120+3*IF($G120=참조데이터!$H$1,1,-1)))</f>
        <v/>
      </c>
      <c r="N120" s="20" t="str">
        <f>IFERROR(INDEX(참조데이터!$D$2:$D$6,MATCH($O120,참조데이터!$E$2:$E$6,0)),"")</f>
        <v/>
      </c>
      <c r="O120" s="22" t="str">
        <f>IF($G120="","",MEDIAN(참조데이터!$H$1,참조데이터!$H$2,$G120+4*IF($G120=참조데이터!$H$1,1,-1)))</f>
        <v/>
      </c>
      <c r="P120" s="17"/>
      <c r="Q120" s="20"/>
      <c r="R120" s="24"/>
      <c r="S120" s="35" t="str">
        <f>IF($D120="","",IF($D120=참조데이터!$A$3,"",IFERROR(IF(VLOOKUP($D120,참조데이터!$A$1:$C$3,3,FALSE)="",1,VLOOKUP($D120,참조데이터!$A$1:$C$3,3,FALSE)),1)))</f>
        <v/>
      </c>
      <c r="T120" s="36" t="str">
        <f>IF($D120="","",IFERROR(VLOOKUP($D120,참조데이터!$A$9:$B$11,2,FALSE),""))</f>
        <v/>
      </c>
      <c r="U120" s="17"/>
    </row>
    <row r="121" spans="1:21" ht="22.05" customHeight="1" x14ac:dyDescent="0.4">
      <c r="A121" s="44"/>
      <c r="B121" s="48"/>
      <c r="C121" s="14"/>
      <c r="D121" s="15"/>
      <c r="E121" s="16"/>
      <c r="F121" s="17" t="str">
        <f>IFERROR(INDEX(참조데이터!$D$2:$D$6,MATCH($G121,참조데이터!$E$2:$E$6,0)),"")</f>
        <v/>
      </c>
      <c r="G121" s="23" t="str">
        <f>IF($D121="척도형",참조데이터!$E$2,"")</f>
        <v/>
      </c>
      <c r="H121" s="19" t="str">
        <f>IFERROR(INDEX(참조데이터!$D$2:$D$6,MATCH($I121,참조데이터!$E$2:$E$6,0)),"")</f>
        <v/>
      </c>
      <c r="I121" s="23" t="str">
        <f>IF($G121="","",MEDIAN(참조데이터!$H$1,참조데이터!$H$2,$G121+1*IF($G121=참조데이터!$H$1,1,-1)))</f>
        <v/>
      </c>
      <c r="J121" s="19" t="str">
        <f>IFERROR(INDEX(참조데이터!$D$2:$D$6,MATCH($K121,참조데이터!$E$2:$E$6,0)),"")</f>
        <v/>
      </c>
      <c r="K121" s="23" t="str">
        <f>IF($G121="","",MEDIAN(참조데이터!$H$1,참조데이터!$H$2,$G121+2*IF($G121=참조데이터!$H$1,1,-1)))</f>
        <v/>
      </c>
      <c r="L121" s="19" t="str">
        <f>IFERROR(INDEX(참조데이터!$D$2:$D$6,MATCH($M121,참조데이터!$E$2:$E$6,0)),"")</f>
        <v/>
      </c>
      <c r="M121" s="23" t="str">
        <f>IF($G121="","",MEDIAN(참조데이터!$H$1,참조데이터!$H$2,$G121+3*IF($G121=참조데이터!$H$1,1,-1)))</f>
        <v/>
      </c>
      <c r="N121" s="20" t="str">
        <f>IFERROR(INDEX(참조데이터!$D$2:$D$6,MATCH($O121,참조데이터!$E$2:$E$6,0)),"")</f>
        <v/>
      </c>
      <c r="O121" s="22" t="str">
        <f>IF($G121="","",MEDIAN(참조데이터!$H$1,참조데이터!$H$2,$G121+4*IF($G121=참조데이터!$H$1,1,-1)))</f>
        <v/>
      </c>
      <c r="P121" s="17"/>
      <c r="Q121" s="20"/>
      <c r="R121" s="24"/>
      <c r="S121" s="35" t="str">
        <f>IF($D121="","",IF($D121=참조데이터!$A$3,"",IFERROR(IF(VLOOKUP($D121,참조데이터!$A$1:$C$3,3,FALSE)="",1,VLOOKUP($D121,참조데이터!$A$1:$C$3,3,FALSE)),1)))</f>
        <v/>
      </c>
      <c r="T121" s="36" t="str">
        <f>IF($D121="","",IFERROR(VLOOKUP($D121,참조데이터!$A$9:$B$11,2,FALSE),""))</f>
        <v/>
      </c>
      <c r="U121" s="17"/>
    </row>
    <row r="122" spans="1:21" ht="22.05" customHeight="1" x14ac:dyDescent="0.4">
      <c r="A122" s="44"/>
      <c r="B122" s="48"/>
      <c r="C122" s="14"/>
      <c r="D122" s="15"/>
      <c r="E122" s="16"/>
      <c r="F122" s="17" t="str">
        <f>IFERROR(INDEX(참조데이터!$D$2:$D$6,MATCH($G122,참조데이터!$E$2:$E$6,0)),"")</f>
        <v/>
      </c>
      <c r="G122" s="23" t="str">
        <f>IF($D122="척도형",참조데이터!$E$2,"")</f>
        <v/>
      </c>
      <c r="H122" s="19" t="str">
        <f>IFERROR(INDEX(참조데이터!$D$2:$D$6,MATCH($I122,참조데이터!$E$2:$E$6,0)),"")</f>
        <v/>
      </c>
      <c r="I122" s="23" t="str">
        <f>IF($G122="","",MEDIAN(참조데이터!$H$1,참조데이터!$H$2,$G122+1*IF($G122=참조데이터!$H$1,1,-1)))</f>
        <v/>
      </c>
      <c r="J122" s="19" t="str">
        <f>IFERROR(INDEX(참조데이터!$D$2:$D$6,MATCH($K122,참조데이터!$E$2:$E$6,0)),"")</f>
        <v/>
      </c>
      <c r="K122" s="23" t="str">
        <f>IF($G122="","",MEDIAN(참조데이터!$H$1,참조데이터!$H$2,$G122+2*IF($G122=참조데이터!$H$1,1,-1)))</f>
        <v/>
      </c>
      <c r="L122" s="19" t="str">
        <f>IFERROR(INDEX(참조데이터!$D$2:$D$6,MATCH($M122,참조데이터!$E$2:$E$6,0)),"")</f>
        <v/>
      </c>
      <c r="M122" s="23" t="str">
        <f>IF($G122="","",MEDIAN(참조데이터!$H$1,참조데이터!$H$2,$G122+3*IF($G122=참조데이터!$H$1,1,-1)))</f>
        <v/>
      </c>
      <c r="N122" s="20" t="str">
        <f>IFERROR(INDEX(참조데이터!$D$2:$D$6,MATCH($O122,참조데이터!$E$2:$E$6,0)),"")</f>
        <v/>
      </c>
      <c r="O122" s="22" t="str">
        <f>IF($G122="","",MEDIAN(참조데이터!$H$1,참조데이터!$H$2,$G122+4*IF($G122=참조데이터!$H$1,1,-1)))</f>
        <v/>
      </c>
      <c r="P122" s="17"/>
      <c r="Q122" s="20"/>
      <c r="R122" s="24"/>
      <c r="S122" s="35" t="str">
        <f>IF($D122="","",IF($D122=참조데이터!$A$3,"",IFERROR(IF(VLOOKUP($D122,참조데이터!$A$1:$C$3,3,FALSE)="",1,VLOOKUP($D122,참조데이터!$A$1:$C$3,3,FALSE)),1)))</f>
        <v/>
      </c>
      <c r="T122" s="36" t="str">
        <f>IF($D122="","",IFERROR(VLOOKUP($D122,참조데이터!$A$9:$B$11,2,FALSE),""))</f>
        <v/>
      </c>
      <c r="U122" s="17"/>
    </row>
    <row r="123" spans="1:21" ht="22.05" customHeight="1" x14ac:dyDescent="0.4">
      <c r="A123" s="44"/>
      <c r="B123" s="48"/>
      <c r="C123" s="14"/>
      <c r="D123" s="15"/>
      <c r="E123" s="16"/>
      <c r="F123" s="17" t="str">
        <f>IFERROR(INDEX(참조데이터!$D$2:$D$6,MATCH($G123,참조데이터!$E$2:$E$6,0)),"")</f>
        <v/>
      </c>
      <c r="G123" s="23" t="str">
        <f>IF($D123="척도형",참조데이터!$E$2,"")</f>
        <v/>
      </c>
      <c r="H123" s="19" t="str">
        <f>IFERROR(INDEX(참조데이터!$D$2:$D$6,MATCH($I123,참조데이터!$E$2:$E$6,0)),"")</f>
        <v/>
      </c>
      <c r="I123" s="23" t="str">
        <f>IF($G123="","",MEDIAN(참조데이터!$H$1,참조데이터!$H$2,$G123+1*IF($G123=참조데이터!$H$1,1,-1)))</f>
        <v/>
      </c>
      <c r="J123" s="19" t="str">
        <f>IFERROR(INDEX(참조데이터!$D$2:$D$6,MATCH($K123,참조데이터!$E$2:$E$6,0)),"")</f>
        <v/>
      </c>
      <c r="K123" s="23" t="str">
        <f>IF($G123="","",MEDIAN(참조데이터!$H$1,참조데이터!$H$2,$G123+2*IF($G123=참조데이터!$H$1,1,-1)))</f>
        <v/>
      </c>
      <c r="L123" s="19" t="str">
        <f>IFERROR(INDEX(참조데이터!$D$2:$D$6,MATCH($M123,참조데이터!$E$2:$E$6,0)),"")</f>
        <v/>
      </c>
      <c r="M123" s="23" t="str">
        <f>IF($G123="","",MEDIAN(참조데이터!$H$1,참조데이터!$H$2,$G123+3*IF($G123=참조데이터!$H$1,1,-1)))</f>
        <v/>
      </c>
      <c r="N123" s="20" t="str">
        <f>IFERROR(INDEX(참조데이터!$D$2:$D$6,MATCH($O123,참조데이터!$E$2:$E$6,0)),"")</f>
        <v/>
      </c>
      <c r="O123" s="22" t="str">
        <f>IF($G123="","",MEDIAN(참조데이터!$H$1,참조데이터!$H$2,$G123+4*IF($G123=참조데이터!$H$1,1,-1)))</f>
        <v/>
      </c>
      <c r="P123" s="17"/>
      <c r="Q123" s="20"/>
      <c r="R123" s="24"/>
      <c r="S123" s="35" t="str">
        <f>IF($D123="","",IF($D123=참조데이터!$A$3,"",IFERROR(IF(VLOOKUP($D123,참조데이터!$A$1:$C$3,3,FALSE)="",1,VLOOKUP($D123,참조데이터!$A$1:$C$3,3,FALSE)),1)))</f>
        <v/>
      </c>
      <c r="T123" s="36" t="str">
        <f>IF($D123="","",IFERROR(VLOOKUP($D123,참조데이터!$A$9:$B$11,2,FALSE),""))</f>
        <v/>
      </c>
      <c r="U123" s="17"/>
    </row>
    <row r="124" spans="1:21" ht="22.05" customHeight="1" x14ac:dyDescent="0.4">
      <c r="A124" s="44"/>
      <c r="B124" s="48"/>
      <c r="C124" s="14"/>
      <c r="D124" s="15"/>
      <c r="E124" s="16"/>
      <c r="F124" s="17" t="str">
        <f>IFERROR(INDEX(참조데이터!$D$2:$D$6,MATCH($G124,참조데이터!$E$2:$E$6,0)),"")</f>
        <v/>
      </c>
      <c r="G124" s="23" t="str">
        <f>IF($D124="척도형",참조데이터!$E$2,"")</f>
        <v/>
      </c>
      <c r="H124" s="19" t="str">
        <f>IFERROR(INDEX(참조데이터!$D$2:$D$6,MATCH($I124,참조데이터!$E$2:$E$6,0)),"")</f>
        <v/>
      </c>
      <c r="I124" s="23" t="str">
        <f>IF($G124="","",MEDIAN(참조데이터!$H$1,참조데이터!$H$2,$G124+1*IF($G124=참조데이터!$H$1,1,-1)))</f>
        <v/>
      </c>
      <c r="J124" s="19" t="str">
        <f>IFERROR(INDEX(참조데이터!$D$2:$D$6,MATCH($K124,참조데이터!$E$2:$E$6,0)),"")</f>
        <v/>
      </c>
      <c r="K124" s="23" t="str">
        <f>IF($G124="","",MEDIAN(참조데이터!$H$1,참조데이터!$H$2,$G124+2*IF($G124=참조데이터!$H$1,1,-1)))</f>
        <v/>
      </c>
      <c r="L124" s="19" t="str">
        <f>IFERROR(INDEX(참조데이터!$D$2:$D$6,MATCH($M124,참조데이터!$E$2:$E$6,0)),"")</f>
        <v/>
      </c>
      <c r="M124" s="23" t="str">
        <f>IF($G124="","",MEDIAN(참조데이터!$H$1,참조데이터!$H$2,$G124+3*IF($G124=참조데이터!$H$1,1,-1)))</f>
        <v/>
      </c>
      <c r="N124" s="20" t="str">
        <f>IFERROR(INDEX(참조데이터!$D$2:$D$6,MATCH($O124,참조데이터!$E$2:$E$6,0)),"")</f>
        <v/>
      </c>
      <c r="O124" s="22" t="str">
        <f>IF($G124="","",MEDIAN(참조데이터!$H$1,참조데이터!$H$2,$G124+4*IF($G124=참조데이터!$H$1,1,-1)))</f>
        <v/>
      </c>
      <c r="P124" s="17"/>
      <c r="Q124" s="20"/>
      <c r="R124" s="24"/>
      <c r="S124" s="35" t="str">
        <f>IF($D124="","",IF($D124=참조데이터!$A$3,"",IFERROR(IF(VLOOKUP($D124,참조데이터!$A$1:$C$3,3,FALSE)="",1,VLOOKUP($D124,참조데이터!$A$1:$C$3,3,FALSE)),1)))</f>
        <v/>
      </c>
      <c r="T124" s="36" t="str">
        <f>IF($D124="","",IFERROR(VLOOKUP($D124,참조데이터!$A$9:$B$11,2,FALSE),""))</f>
        <v/>
      </c>
      <c r="U124" s="17"/>
    </row>
    <row r="125" spans="1:21" ht="22.05" customHeight="1" x14ac:dyDescent="0.4">
      <c r="A125" s="44"/>
      <c r="B125" s="48"/>
      <c r="C125" s="14"/>
      <c r="D125" s="15"/>
      <c r="E125" s="16"/>
      <c r="F125" s="17" t="str">
        <f>IFERROR(INDEX(참조데이터!$D$2:$D$6,MATCH($G125,참조데이터!$E$2:$E$6,0)),"")</f>
        <v/>
      </c>
      <c r="G125" s="23" t="str">
        <f>IF($D125="척도형",참조데이터!$E$2,"")</f>
        <v/>
      </c>
      <c r="H125" s="19" t="str">
        <f>IFERROR(INDEX(참조데이터!$D$2:$D$6,MATCH($I125,참조데이터!$E$2:$E$6,0)),"")</f>
        <v/>
      </c>
      <c r="I125" s="23" t="str">
        <f>IF($G125="","",MEDIAN(참조데이터!$H$1,참조데이터!$H$2,$G125+1*IF($G125=참조데이터!$H$1,1,-1)))</f>
        <v/>
      </c>
      <c r="J125" s="19" t="str">
        <f>IFERROR(INDEX(참조데이터!$D$2:$D$6,MATCH($K125,참조데이터!$E$2:$E$6,0)),"")</f>
        <v/>
      </c>
      <c r="K125" s="23" t="str">
        <f>IF($G125="","",MEDIAN(참조데이터!$H$1,참조데이터!$H$2,$G125+2*IF($G125=참조데이터!$H$1,1,-1)))</f>
        <v/>
      </c>
      <c r="L125" s="19" t="str">
        <f>IFERROR(INDEX(참조데이터!$D$2:$D$6,MATCH($M125,참조데이터!$E$2:$E$6,0)),"")</f>
        <v/>
      </c>
      <c r="M125" s="23" t="str">
        <f>IF($G125="","",MEDIAN(참조데이터!$H$1,참조데이터!$H$2,$G125+3*IF($G125=참조데이터!$H$1,1,-1)))</f>
        <v/>
      </c>
      <c r="N125" s="20" t="str">
        <f>IFERROR(INDEX(참조데이터!$D$2:$D$6,MATCH($O125,참조데이터!$E$2:$E$6,0)),"")</f>
        <v/>
      </c>
      <c r="O125" s="22" t="str">
        <f>IF($G125="","",MEDIAN(참조데이터!$H$1,참조데이터!$H$2,$G125+4*IF($G125=참조데이터!$H$1,1,-1)))</f>
        <v/>
      </c>
      <c r="P125" s="17"/>
      <c r="Q125" s="20"/>
      <c r="R125" s="24"/>
      <c r="S125" s="35" t="str">
        <f>IF($D125="","",IF($D125=참조데이터!$A$3,"",IFERROR(IF(VLOOKUP($D125,참조데이터!$A$1:$C$3,3,FALSE)="",1,VLOOKUP($D125,참조데이터!$A$1:$C$3,3,FALSE)),1)))</f>
        <v/>
      </c>
      <c r="T125" s="36" t="str">
        <f>IF($D125="","",IFERROR(VLOOKUP($D125,참조데이터!$A$9:$B$11,2,FALSE),""))</f>
        <v/>
      </c>
      <c r="U125" s="17"/>
    </row>
    <row r="126" spans="1:21" ht="22.05" customHeight="1" x14ac:dyDescent="0.4">
      <c r="A126" s="44"/>
      <c r="B126" s="48"/>
      <c r="C126" s="14"/>
      <c r="D126" s="15"/>
      <c r="E126" s="16"/>
      <c r="F126" s="17" t="str">
        <f>IFERROR(INDEX(참조데이터!$D$2:$D$6,MATCH($G126,참조데이터!$E$2:$E$6,0)),"")</f>
        <v/>
      </c>
      <c r="G126" s="23" t="str">
        <f>IF($D126="척도형",참조데이터!$E$2,"")</f>
        <v/>
      </c>
      <c r="H126" s="19" t="str">
        <f>IFERROR(INDEX(참조데이터!$D$2:$D$6,MATCH($I126,참조데이터!$E$2:$E$6,0)),"")</f>
        <v/>
      </c>
      <c r="I126" s="23" t="str">
        <f>IF($G126="","",MEDIAN(참조데이터!$H$1,참조데이터!$H$2,$G126+1*IF($G126=참조데이터!$H$1,1,-1)))</f>
        <v/>
      </c>
      <c r="J126" s="19" t="str">
        <f>IFERROR(INDEX(참조데이터!$D$2:$D$6,MATCH($K126,참조데이터!$E$2:$E$6,0)),"")</f>
        <v/>
      </c>
      <c r="K126" s="23" t="str">
        <f>IF($G126="","",MEDIAN(참조데이터!$H$1,참조데이터!$H$2,$G126+2*IF($G126=참조데이터!$H$1,1,-1)))</f>
        <v/>
      </c>
      <c r="L126" s="19" t="str">
        <f>IFERROR(INDEX(참조데이터!$D$2:$D$6,MATCH($M126,참조데이터!$E$2:$E$6,0)),"")</f>
        <v/>
      </c>
      <c r="M126" s="23" t="str">
        <f>IF($G126="","",MEDIAN(참조데이터!$H$1,참조데이터!$H$2,$G126+3*IF($G126=참조데이터!$H$1,1,-1)))</f>
        <v/>
      </c>
      <c r="N126" s="20" t="str">
        <f>IFERROR(INDEX(참조데이터!$D$2:$D$6,MATCH($O126,참조데이터!$E$2:$E$6,0)),"")</f>
        <v/>
      </c>
      <c r="O126" s="22" t="str">
        <f>IF($G126="","",MEDIAN(참조데이터!$H$1,참조데이터!$H$2,$G126+4*IF($G126=참조데이터!$H$1,1,-1)))</f>
        <v/>
      </c>
      <c r="P126" s="17"/>
      <c r="Q126" s="20"/>
      <c r="R126" s="24"/>
      <c r="S126" s="35" t="str">
        <f>IF($D126="","",IF($D126=참조데이터!$A$3,"",IFERROR(IF(VLOOKUP($D126,참조데이터!$A$1:$C$3,3,FALSE)="",1,VLOOKUP($D126,참조데이터!$A$1:$C$3,3,FALSE)),1)))</f>
        <v/>
      </c>
      <c r="T126" s="36" t="str">
        <f>IF($D126="","",IFERROR(VLOOKUP($D126,참조데이터!$A$9:$B$11,2,FALSE),""))</f>
        <v/>
      </c>
      <c r="U126" s="17"/>
    </row>
    <row r="127" spans="1:21" ht="22.05" customHeight="1" x14ac:dyDescent="0.4">
      <c r="A127" s="44"/>
      <c r="B127" s="48"/>
      <c r="C127" s="14"/>
      <c r="D127" s="15"/>
      <c r="E127" s="16"/>
      <c r="F127" s="17" t="str">
        <f>IFERROR(INDEX(참조데이터!$D$2:$D$6,MATCH($G127,참조데이터!$E$2:$E$6,0)),"")</f>
        <v/>
      </c>
      <c r="G127" s="23" t="str">
        <f>IF($D127="척도형",참조데이터!$E$2,"")</f>
        <v/>
      </c>
      <c r="H127" s="19" t="str">
        <f>IFERROR(INDEX(참조데이터!$D$2:$D$6,MATCH($I127,참조데이터!$E$2:$E$6,0)),"")</f>
        <v/>
      </c>
      <c r="I127" s="23" t="str">
        <f>IF($G127="","",MEDIAN(참조데이터!$H$1,참조데이터!$H$2,$G127+1*IF($G127=참조데이터!$H$1,1,-1)))</f>
        <v/>
      </c>
      <c r="J127" s="19" t="str">
        <f>IFERROR(INDEX(참조데이터!$D$2:$D$6,MATCH($K127,참조데이터!$E$2:$E$6,0)),"")</f>
        <v/>
      </c>
      <c r="K127" s="23" t="str">
        <f>IF($G127="","",MEDIAN(참조데이터!$H$1,참조데이터!$H$2,$G127+2*IF($G127=참조데이터!$H$1,1,-1)))</f>
        <v/>
      </c>
      <c r="L127" s="19" t="str">
        <f>IFERROR(INDEX(참조데이터!$D$2:$D$6,MATCH($M127,참조데이터!$E$2:$E$6,0)),"")</f>
        <v/>
      </c>
      <c r="M127" s="23" t="str">
        <f>IF($G127="","",MEDIAN(참조데이터!$H$1,참조데이터!$H$2,$G127+3*IF($G127=참조데이터!$H$1,1,-1)))</f>
        <v/>
      </c>
      <c r="N127" s="20" t="str">
        <f>IFERROR(INDEX(참조데이터!$D$2:$D$6,MATCH($O127,참조데이터!$E$2:$E$6,0)),"")</f>
        <v/>
      </c>
      <c r="O127" s="22" t="str">
        <f>IF($G127="","",MEDIAN(참조데이터!$H$1,참조데이터!$H$2,$G127+4*IF($G127=참조데이터!$H$1,1,-1)))</f>
        <v/>
      </c>
      <c r="P127" s="17"/>
      <c r="Q127" s="20"/>
      <c r="R127" s="24"/>
      <c r="S127" s="35" t="str">
        <f>IF($D127="","",IF($D127=참조데이터!$A$3,"",IFERROR(IF(VLOOKUP($D127,참조데이터!$A$1:$C$3,3,FALSE)="",1,VLOOKUP($D127,참조데이터!$A$1:$C$3,3,FALSE)),1)))</f>
        <v/>
      </c>
      <c r="T127" s="36" t="str">
        <f>IF($D127="","",IFERROR(VLOOKUP($D127,참조데이터!$A$9:$B$11,2,FALSE),""))</f>
        <v/>
      </c>
      <c r="U127" s="17"/>
    </row>
    <row r="128" spans="1:21" ht="22.05" customHeight="1" x14ac:dyDescent="0.4">
      <c r="A128" s="44"/>
      <c r="B128" s="48"/>
      <c r="C128" s="14"/>
      <c r="D128" s="15"/>
      <c r="E128" s="16"/>
      <c r="F128" s="17" t="str">
        <f>IFERROR(INDEX(참조데이터!$D$2:$D$6,MATCH($G128,참조데이터!$E$2:$E$6,0)),"")</f>
        <v/>
      </c>
      <c r="G128" s="23" t="str">
        <f>IF($D128="척도형",참조데이터!$E$2,"")</f>
        <v/>
      </c>
      <c r="H128" s="19" t="str">
        <f>IFERROR(INDEX(참조데이터!$D$2:$D$6,MATCH($I128,참조데이터!$E$2:$E$6,0)),"")</f>
        <v/>
      </c>
      <c r="I128" s="23" t="str">
        <f>IF($G128="","",MEDIAN(참조데이터!$H$1,참조데이터!$H$2,$G128+1*IF($G128=참조데이터!$H$1,1,-1)))</f>
        <v/>
      </c>
      <c r="J128" s="19" t="str">
        <f>IFERROR(INDEX(참조데이터!$D$2:$D$6,MATCH($K128,참조데이터!$E$2:$E$6,0)),"")</f>
        <v/>
      </c>
      <c r="K128" s="23" t="str">
        <f>IF($G128="","",MEDIAN(참조데이터!$H$1,참조데이터!$H$2,$G128+2*IF($G128=참조데이터!$H$1,1,-1)))</f>
        <v/>
      </c>
      <c r="L128" s="19" t="str">
        <f>IFERROR(INDEX(참조데이터!$D$2:$D$6,MATCH($M128,참조데이터!$E$2:$E$6,0)),"")</f>
        <v/>
      </c>
      <c r="M128" s="23" t="str">
        <f>IF($G128="","",MEDIAN(참조데이터!$H$1,참조데이터!$H$2,$G128+3*IF($G128=참조데이터!$H$1,1,-1)))</f>
        <v/>
      </c>
      <c r="N128" s="20" t="str">
        <f>IFERROR(INDEX(참조데이터!$D$2:$D$6,MATCH($O128,참조데이터!$E$2:$E$6,0)),"")</f>
        <v/>
      </c>
      <c r="O128" s="22" t="str">
        <f>IF($G128="","",MEDIAN(참조데이터!$H$1,참조데이터!$H$2,$G128+4*IF($G128=참조데이터!$H$1,1,-1)))</f>
        <v/>
      </c>
      <c r="P128" s="17"/>
      <c r="Q128" s="20"/>
      <c r="R128" s="24"/>
      <c r="S128" s="35" t="str">
        <f>IF($D128="","",IF($D128=참조데이터!$A$3,"",IFERROR(IF(VLOOKUP($D128,참조데이터!$A$1:$C$3,3,FALSE)="",1,VLOOKUP($D128,참조데이터!$A$1:$C$3,3,FALSE)),1)))</f>
        <v/>
      </c>
      <c r="T128" s="36" t="str">
        <f>IF($D128="","",IFERROR(VLOOKUP($D128,참조데이터!$A$9:$B$11,2,FALSE),""))</f>
        <v/>
      </c>
      <c r="U128" s="17"/>
    </row>
    <row r="129" spans="1:21" ht="22.05" customHeight="1" x14ac:dyDescent="0.4">
      <c r="A129" s="44"/>
      <c r="B129" s="48"/>
      <c r="C129" s="14"/>
      <c r="D129" s="15"/>
      <c r="E129" s="16"/>
      <c r="F129" s="17" t="str">
        <f>IFERROR(INDEX(참조데이터!$D$2:$D$6,MATCH($G129,참조데이터!$E$2:$E$6,0)),"")</f>
        <v/>
      </c>
      <c r="G129" s="23" t="str">
        <f>IF($D129="척도형",참조데이터!$E$2,"")</f>
        <v/>
      </c>
      <c r="H129" s="19" t="str">
        <f>IFERROR(INDEX(참조데이터!$D$2:$D$6,MATCH($I129,참조데이터!$E$2:$E$6,0)),"")</f>
        <v/>
      </c>
      <c r="I129" s="23" t="str">
        <f>IF($G129="","",MEDIAN(참조데이터!$H$1,참조데이터!$H$2,$G129+1*IF($G129=참조데이터!$H$1,1,-1)))</f>
        <v/>
      </c>
      <c r="J129" s="19" t="str">
        <f>IFERROR(INDEX(참조데이터!$D$2:$D$6,MATCH($K129,참조데이터!$E$2:$E$6,0)),"")</f>
        <v/>
      </c>
      <c r="K129" s="23" t="str">
        <f>IF($G129="","",MEDIAN(참조데이터!$H$1,참조데이터!$H$2,$G129+2*IF($G129=참조데이터!$H$1,1,-1)))</f>
        <v/>
      </c>
      <c r="L129" s="19" t="str">
        <f>IFERROR(INDEX(참조데이터!$D$2:$D$6,MATCH($M129,참조데이터!$E$2:$E$6,0)),"")</f>
        <v/>
      </c>
      <c r="M129" s="23" t="str">
        <f>IF($G129="","",MEDIAN(참조데이터!$H$1,참조데이터!$H$2,$G129+3*IF($G129=참조데이터!$H$1,1,-1)))</f>
        <v/>
      </c>
      <c r="N129" s="20" t="str">
        <f>IFERROR(INDEX(참조데이터!$D$2:$D$6,MATCH($O129,참조데이터!$E$2:$E$6,0)),"")</f>
        <v/>
      </c>
      <c r="O129" s="22" t="str">
        <f>IF($G129="","",MEDIAN(참조데이터!$H$1,참조데이터!$H$2,$G129+4*IF($G129=참조데이터!$H$1,1,-1)))</f>
        <v/>
      </c>
      <c r="P129" s="17"/>
      <c r="Q129" s="20"/>
      <c r="R129" s="24"/>
      <c r="S129" s="35" t="str">
        <f>IF($D129="","",IF($D129=참조데이터!$A$3,"",IFERROR(IF(VLOOKUP($D129,참조데이터!$A$1:$C$3,3,FALSE)="",1,VLOOKUP($D129,참조데이터!$A$1:$C$3,3,FALSE)),1)))</f>
        <v/>
      </c>
      <c r="T129" s="36" t="str">
        <f>IF($D129="","",IFERROR(VLOOKUP($D129,참조데이터!$A$9:$B$11,2,FALSE),""))</f>
        <v/>
      </c>
      <c r="U129" s="17"/>
    </row>
    <row r="130" spans="1:21" ht="22.05" customHeight="1" x14ac:dyDescent="0.4">
      <c r="A130" s="44"/>
      <c r="B130" s="48"/>
      <c r="C130" s="14"/>
      <c r="D130" s="15"/>
      <c r="E130" s="16"/>
      <c r="F130" s="17" t="str">
        <f>IFERROR(INDEX(참조데이터!$D$2:$D$6,MATCH($G130,참조데이터!$E$2:$E$6,0)),"")</f>
        <v/>
      </c>
      <c r="G130" s="23" t="str">
        <f>IF($D130="척도형",참조데이터!$E$2,"")</f>
        <v/>
      </c>
      <c r="H130" s="19" t="str">
        <f>IFERROR(INDEX(참조데이터!$D$2:$D$6,MATCH($I130,참조데이터!$E$2:$E$6,0)),"")</f>
        <v/>
      </c>
      <c r="I130" s="23" t="str">
        <f>IF($G130="","",MEDIAN(참조데이터!$H$1,참조데이터!$H$2,$G130+1*IF($G130=참조데이터!$H$1,1,-1)))</f>
        <v/>
      </c>
      <c r="J130" s="19" t="str">
        <f>IFERROR(INDEX(참조데이터!$D$2:$D$6,MATCH($K130,참조데이터!$E$2:$E$6,0)),"")</f>
        <v/>
      </c>
      <c r="K130" s="23" t="str">
        <f>IF($G130="","",MEDIAN(참조데이터!$H$1,참조데이터!$H$2,$G130+2*IF($G130=참조데이터!$H$1,1,-1)))</f>
        <v/>
      </c>
      <c r="L130" s="19" t="str">
        <f>IFERROR(INDEX(참조데이터!$D$2:$D$6,MATCH($M130,참조데이터!$E$2:$E$6,0)),"")</f>
        <v/>
      </c>
      <c r="M130" s="23" t="str">
        <f>IF($G130="","",MEDIAN(참조데이터!$H$1,참조데이터!$H$2,$G130+3*IF($G130=참조데이터!$H$1,1,-1)))</f>
        <v/>
      </c>
      <c r="N130" s="20" t="str">
        <f>IFERROR(INDEX(참조데이터!$D$2:$D$6,MATCH($O130,참조데이터!$E$2:$E$6,0)),"")</f>
        <v/>
      </c>
      <c r="O130" s="22" t="str">
        <f>IF($G130="","",MEDIAN(참조데이터!$H$1,참조데이터!$H$2,$G130+4*IF($G130=참조데이터!$H$1,1,-1)))</f>
        <v/>
      </c>
      <c r="P130" s="17"/>
      <c r="Q130" s="20"/>
      <c r="R130" s="24"/>
      <c r="S130" s="35" t="str">
        <f>IF($D130="","",IF($D130=참조데이터!$A$3,"",IFERROR(IF(VLOOKUP($D130,참조데이터!$A$1:$C$3,3,FALSE)="",1,VLOOKUP($D130,참조데이터!$A$1:$C$3,3,FALSE)),1)))</f>
        <v/>
      </c>
      <c r="T130" s="36" t="str">
        <f>IF($D130="","",IFERROR(VLOOKUP($D130,참조데이터!$A$9:$B$11,2,FALSE),""))</f>
        <v/>
      </c>
      <c r="U130" s="17"/>
    </row>
    <row r="131" spans="1:21" ht="22.05" customHeight="1" x14ac:dyDescent="0.4">
      <c r="A131" s="44"/>
      <c r="B131" s="48"/>
      <c r="C131" s="14"/>
      <c r="D131" s="15"/>
      <c r="E131" s="16"/>
      <c r="F131" s="17" t="str">
        <f>IFERROR(INDEX(참조데이터!$D$2:$D$6,MATCH($G131,참조데이터!$E$2:$E$6,0)),"")</f>
        <v/>
      </c>
      <c r="G131" s="23" t="str">
        <f>IF($D131="척도형",참조데이터!$E$2,"")</f>
        <v/>
      </c>
      <c r="H131" s="19" t="str">
        <f>IFERROR(INDEX(참조데이터!$D$2:$D$6,MATCH($I131,참조데이터!$E$2:$E$6,0)),"")</f>
        <v/>
      </c>
      <c r="I131" s="23" t="str">
        <f>IF($G131="","",MEDIAN(참조데이터!$H$1,참조데이터!$H$2,$G131+1*IF($G131=참조데이터!$H$1,1,-1)))</f>
        <v/>
      </c>
      <c r="J131" s="19" t="str">
        <f>IFERROR(INDEX(참조데이터!$D$2:$D$6,MATCH($K131,참조데이터!$E$2:$E$6,0)),"")</f>
        <v/>
      </c>
      <c r="K131" s="23" t="str">
        <f>IF($G131="","",MEDIAN(참조데이터!$H$1,참조데이터!$H$2,$G131+2*IF($G131=참조데이터!$H$1,1,-1)))</f>
        <v/>
      </c>
      <c r="L131" s="19" t="str">
        <f>IFERROR(INDEX(참조데이터!$D$2:$D$6,MATCH($M131,참조데이터!$E$2:$E$6,0)),"")</f>
        <v/>
      </c>
      <c r="M131" s="23" t="str">
        <f>IF($G131="","",MEDIAN(참조데이터!$H$1,참조데이터!$H$2,$G131+3*IF($G131=참조데이터!$H$1,1,-1)))</f>
        <v/>
      </c>
      <c r="N131" s="20" t="str">
        <f>IFERROR(INDEX(참조데이터!$D$2:$D$6,MATCH($O131,참조데이터!$E$2:$E$6,0)),"")</f>
        <v/>
      </c>
      <c r="O131" s="22" t="str">
        <f>IF($G131="","",MEDIAN(참조데이터!$H$1,참조데이터!$H$2,$G131+4*IF($G131=참조데이터!$H$1,1,-1)))</f>
        <v/>
      </c>
      <c r="P131" s="17"/>
      <c r="Q131" s="20"/>
      <c r="R131" s="24"/>
      <c r="S131" s="35" t="str">
        <f>IF($D131="","",IF($D131=참조데이터!$A$3,"",IFERROR(IF(VLOOKUP($D131,참조데이터!$A$1:$C$3,3,FALSE)="",1,VLOOKUP($D131,참조데이터!$A$1:$C$3,3,FALSE)),1)))</f>
        <v/>
      </c>
      <c r="T131" s="36" t="str">
        <f>IF($D131="","",IFERROR(VLOOKUP($D131,참조데이터!$A$9:$B$11,2,FALSE),""))</f>
        <v/>
      </c>
      <c r="U131" s="17"/>
    </row>
    <row r="132" spans="1:21" ht="22.05" customHeight="1" x14ac:dyDescent="0.4">
      <c r="A132" s="44"/>
      <c r="B132" s="48"/>
      <c r="C132" s="14"/>
      <c r="D132" s="15"/>
      <c r="E132" s="16"/>
      <c r="F132" s="17" t="str">
        <f>IFERROR(INDEX(참조데이터!$D$2:$D$6,MATCH($G132,참조데이터!$E$2:$E$6,0)),"")</f>
        <v/>
      </c>
      <c r="G132" s="23" t="str">
        <f>IF($D132="척도형",참조데이터!$E$2,"")</f>
        <v/>
      </c>
      <c r="H132" s="19" t="str">
        <f>IFERROR(INDEX(참조데이터!$D$2:$D$6,MATCH($I132,참조데이터!$E$2:$E$6,0)),"")</f>
        <v/>
      </c>
      <c r="I132" s="23" t="str">
        <f>IF($G132="","",MEDIAN(참조데이터!$H$1,참조데이터!$H$2,$G132+1*IF($G132=참조데이터!$H$1,1,-1)))</f>
        <v/>
      </c>
      <c r="J132" s="19" t="str">
        <f>IFERROR(INDEX(참조데이터!$D$2:$D$6,MATCH($K132,참조데이터!$E$2:$E$6,0)),"")</f>
        <v/>
      </c>
      <c r="K132" s="23" t="str">
        <f>IF($G132="","",MEDIAN(참조데이터!$H$1,참조데이터!$H$2,$G132+2*IF($G132=참조데이터!$H$1,1,-1)))</f>
        <v/>
      </c>
      <c r="L132" s="19" t="str">
        <f>IFERROR(INDEX(참조데이터!$D$2:$D$6,MATCH($M132,참조데이터!$E$2:$E$6,0)),"")</f>
        <v/>
      </c>
      <c r="M132" s="23" t="str">
        <f>IF($G132="","",MEDIAN(참조데이터!$H$1,참조데이터!$H$2,$G132+3*IF($G132=참조데이터!$H$1,1,-1)))</f>
        <v/>
      </c>
      <c r="N132" s="20" t="str">
        <f>IFERROR(INDEX(참조데이터!$D$2:$D$6,MATCH($O132,참조데이터!$E$2:$E$6,0)),"")</f>
        <v/>
      </c>
      <c r="O132" s="22" t="str">
        <f>IF($G132="","",MEDIAN(참조데이터!$H$1,참조데이터!$H$2,$G132+4*IF($G132=참조데이터!$H$1,1,-1)))</f>
        <v/>
      </c>
      <c r="P132" s="17"/>
      <c r="Q132" s="20"/>
      <c r="R132" s="24"/>
      <c r="S132" s="35" t="str">
        <f>IF($D132="","",IF($D132=참조데이터!$A$3,"",IFERROR(IF(VLOOKUP($D132,참조데이터!$A$1:$C$3,3,FALSE)="",1,VLOOKUP($D132,참조데이터!$A$1:$C$3,3,FALSE)),1)))</f>
        <v/>
      </c>
      <c r="T132" s="36" t="str">
        <f>IF($D132="","",IFERROR(VLOOKUP($D132,참조데이터!$A$9:$B$11,2,FALSE),""))</f>
        <v/>
      </c>
      <c r="U132" s="17"/>
    </row>
    <row r="133" spans="1:21" ht="22.05" customHeight="1" x14ac:dyDescent="0.4">
      <c r="A133" s="44"/>
      <c r="B133" s="48"/>
      <c r="C133" s="14"/>
      <c r="D133" s="15"/>
      <c r="E133" s="16"/>
      <c r="F133" s="17" t="str">
        <f>IFERROR(INDEX(참조데이터!$D$2:$D$6,MATCH($G133,참조데이터!$E$2:$E$6,0)),"")</f>
        <v/>
      </c>
      <c r="G133" s="23" t="str">
        <f>IF($D133="척도형",참조데이터!$E$2,"")</f>
        <v/>
      </c>
      <c r="H133" s="19" t="str">
        <f>IFERROR(INDEX(참조데이터!$D$2:$D$6,MATCH($I133,참조데이터!$E$2:$E$6,0)),"")</f>
        <v/>
      </c>
      <c r="I133" s="23" t="str">
        <f>IF($G133="","",MEDIAN(참조데이터!$H$1,참조데이터!$H$2,$G133+1*IF($G133=참조데이터!$H$1,1,-1)))</f>
        <v/>
      </c>
      <c r="J133" s="19" t="str">
        <f>IFERROR(INDEX(참조데이터!$D$2:$D$6,MATCH($K133,참조데이터!$E$2:$E$6,0)),"")</f>
        <v/>
      </c>
      <c r="K133" s="23" t="str">
        <f>IF($G133="","",MEDIAN(참조데이터!$H$1,참조데이터!$H$2,$G133+2*IF($G133=참조데이터!$H$1,1,-1)))</f>
        <v/>
      </c>
      <c r="L133" s="19" t="str">
        <f>IFERROR(INDEX(참조데이터!$D$2:$D$6,MATCH($M133,참조데이터!$E$2:$E$6,0)),"")</f>
        <v/>
      </c>
      <c r="M133" s="23" t="str">
        <f>IF($G133="","",MEDIAN(참조데이터!$H$1,참조데이터!$H$2,$G133+3*IF($G133=참조데이터!$H$1,1,-1)))</f>
        <v/>
      </c>
      <c r="N133" s="20" t="str">
        <f>IFERROR(INDEX(참조데이터!$D$2:$D$6,MATCH($O133,참조데이터!$E$2:$E$6,0)),"")</f>
        <v/>
      </c>
      <c r="O133" s="22" t="str">
        <f>IF($G133="","",MEDIAN(참조데이터!$H$1,참조데이터!$H$2,$G133+4*IF($G133=참조데이터!$H$1,1,-1)))</f>
        <v/>
      </c>
      <c r="P133" s="17"/>
      <c r="Q133" s="20"/>
      <c r="R133" s="24"/>
      <c r="S133" s="35" t="str">
        <f>IF($D133="","",IF($D133=참조데이터!$A$3,"",IFERROR(IF(VLOOKUP($D133,참조데이터!$A$1:$C$3,3,FALSE)="",1,VLOOKUP($D133,참조데이터!$A$1:$C$3,3,FALSE)),1)))</f>
        <v/>
      </c>
      <c r="T133" s="36" t="str">
        <f>IF($D133="","",IFERROR(VLOOKUP($D133,참조데이터!$A$9:$B$11,2,FALSE),""))</f>
        <v/>
      </c>
      <c r="U133" s="17"/>
    </row>
    <row r="134" spans="1:21" ht="22.05" customHeight="1" x14ac:dyDescent="0.4">
      <c r="A134" s="44"/>
      <c r="B134" s="48"/>
      <c r="C134" s="14"/>
      <c r="D134" s="15"/>
      <c r="E134" s="16"/>
      <c r="F134" s="17" t="str">
        <f>IFERROR(INDEX(참조데이터!$D$2:$D$6,MATCH($G134,참조데이터!$E$2:$E$6,0)),"")</f>
        <v/>
      </c>
      <c r="G134" s="23" t="str">
        <f>IF($D134="척도형",참조데이터!$E$2,"")</f>
        <v/>
      </c>
      <c r="H134" s="19" t="str">
        <f>IFERROR(INDEX(참조데이터!$D$2:$D$6,MATCH($I134,참조데이터!$E$2:$E$6,0)),"")</f>
        <v/>
      </c>
      <c r="I134" s="23" t="str">
        <f>IF($G134="","",MEDIAN(참조데이터!$H$1,참조데이터!$H$2,$G134+1*IF($G134=참조데이터!$H$1,1,-1)))</f>
        <v/>
      </c>
      <c r="J134" s="19" t="str">
        <f>IFERROR(INDEX(참조데이터!$D$2:$D$6,MATCH($K134,참조데이터!$E$2:$E$6,0)),"")</f>
        <v/>
      </c>
      <c r="K134" s="23" t="str">
        <f>IF($G134="","",MEDIAN(참조데이터!$H$1,참조데이터!$H$2,$G134+2*IF($G134=참조데이터!$H$1,1,-1)))</f>
        <v/>
      </c>
      <c r="L134" s="19" t="str">
        <f>IFERROR(INDEX(참조데이터!$D$2:$D$6,MATCH($M134,참조데이터!$E$2:$E$6,0)),"")</f>
        <v/>
      </c>
      <c r="M134" s="23" t="str">
        <f>IF($G134="","",MEDIAN(참조데이터!$H$1,참조데이터!$H$2,$G134+3*IF($G134=참조데이터!$H$1,1,-1)))</f>
        <v/>
      </c>
      <c r="N134" s="20" t="str">
        <f>IFERROR(INDEX(참조데이터!$D$2:$D$6,MATCH($O134,참조데이터!$E$2:$E$6,0)),"")</f>
        <v/>
      </c>
      <c r="O134" s="22" t="str">
        <f>IF($G134="","",MEDIAN(참조데이터!$H$1,참조데이터!$H$2,$G134+4*IF($G134=참조데이터!$H$1,1,-1)))</f>
        <v/>
      </c>
      <c r="P134" s="17"/>
      <c r="Q134" s="20"/>
      <c r="R134" s="24"/>
      <c r="S134" s="35" t="str">
        <f>IF($D134="","",IF($D134=참조데이터!$A$3,"",IFERROR(IF(VLOOKUP($D134,참조데이터!$A$1:$C$3,3,FALSE)="",1,VLOOKUP($D134,참조데이터!$A$1:$C$3,3,FALSE)),1)))</f>
        <v/>
      </c>
      <c r="T134" s="36" t="str">
        <f>IF($D134="","",IFERROR(VLOOKUP($D134,참조데이터!$A$9:$B$11,2,FALSE),""))</f>
        <v/>
      </c>
      <c r="U134" s="17"/>
    </row>
    <row r="135" spans="1:21" ht="22.05" customHeight="1" x14ac:dyDescent="0.4">
      <c r="A135" s="44"/>
      <c r="B135" s="48"/>
      <c r="C135" s="14"/>
      <c r="D135" s="15"/>
      <c r="E135" s="16"/>
      <c r="F135" s="17" t="str">
        <f>IFERROR(INDEX(참조데이터!$D$2:$D$6,MATCH($G135,참조데이터!$E$2:$E$6,0)),"")</f>
        <v/>
      </c>
      <c r="G135" s="23" t="str">
        <f>IF($D135="척도형",참조데이터!$E$2,"")</f>
        <v/>
      </c>
      <c r="H135" s="19" t="str">
        <f>IFERROR(INDEX(참조데이터!$D$2:$D$6,MATCH($I135,참조데이터!$E$2:$E$6,0)),"")</f>
        <v/>
      </c>
      <c r="I135" s="23" t="str">
        <f>IF($G135="","",MEDIAN(참조데이터!$H$1,참조데이터!$H$2,$G135+1*IF($G135=참조데이터!$H$1,1,-1)))</f>
        <v/>
      </c>
      <c r="J135" s="19" t="str">
        <f>IFERROR(INDEX(참조데이터!$D$2:$D$6,MATCH($K135,참조데이터!$E$2:$E$6,0)),"")</f>
        <v/>
      </c>
      <c r="K135" s="23" t="str">
        <f>IF($G135="","",MEDIAN(참조데이터!$H$1,참조데이터!$H$2,$G135+2*IF($G135=참조데이터!$H$1,1,-1)))</f>
        <v/>
      </c>
      <c r="L135" s="19" t="str">
        <f>IFERROR(INDEX(참조데이터!$D$2:$D$6,MATCH($M135,참조데이터!$E$2:$E$6,0)),"")</f>
        <v/>
      </c>
      <c r="M135" s="23" t="str">
        <f>IF($G135="","",MEDIAN(참조데이터!$H$1,참조데이터!$H$2,$G135+3*IF($G135=참조데이터!$H$1,1,-1)))</f>
        <v/>
      </c>
      <c r="N135" s="20" t="str">
        <f>IFERROR(INDEX(참조데이터!$D$2:$D$6,MATCH($O135,참조데이터!$E$2:$E$6,0)),"")</f>
        <v/>
      </c>
      <c r="O135" s="22" t="str">
        <f>IF($G135="","",MEDIAN(참조데이터!$H$1,참조데이터!$H$2,$G135+4*IF($G135=참조데이터!$H$1,1,-1)))</f>
        <v/>
      </c>
      <c r="P135" s="17"/>
      <c r="Q135" s="20"/>
      <c r="R135" s="24"/>
      <c r="S135" s="35" t="str">
        <f>IF($D135="","",IF($D135=참조데이터!$A$3,"",IFERROR(IF(VLOOKUP($D135,참조데이터!$A$1:$C$3,3,FALSE)="",1,VLOOKUP($D135,참조데이터!$A$1:$C$3,3,FALSE)),1)))</f>
        <v/>
      </c>
      <c r="T135" s="36" t="str">
        <f>IF($D135="","",IFERROR(VLOOKUP($D135,참조데이터!$A$9:$B$11,2,FALSE),""))</f>
        <v/>
      </c>
      <c r="U135" s="17"/>
    </row>
    <row r="136" spans="1:21" ht="22.05" customHeight="1" x14ac:dyDescent="0.4">
      <c r="A136" s="44"/>
      <c r="B136" s="48"/>
      <c r="C136" s="14"/>
      <c r="D136" s="15"/>
      <c r="E136" s="16"/>
      <c r="F136" s="17" t="str">
        <f>IFERROR(INDEX(참조데이터!$D$2:$D$6,MATCH($G136,참조데이터!$E$2:$E$6,0)),"")</f>
        <v/>
      </c>
      <c r="G136" s="23" t="str">
        <f>IF($D136="척도형",참조데이터!$E$2,"")</f>
        <v/>
      </c>
      <c r="H136" s="19" t="str">
        <f>IFERROR(INDEX(참조데이터!$D$2:$D$6,MATCH($I136,참조데이터!$E$2:$E$6,0)),"")</f>
        <v/>
      </c>
      <c r="I136" s="23" t="str">
        <f>IF($G136="","",MEDIAN(참조데이터!$H$1,참조데이터!$H$2,$G136+1*IF($G136=참조데이터!$H$1,1,-1)))</f>
        <v/>
      </c>
      <c r="J136" s="19" t="str">
        <f>IFERROR(INDEX(참조데이터!$D$2:$D$6,MATCH($K136,참조데이터!$E$2:$E$6,0)),"")</f>
        <v/>
      </c>
      <c r="K136" s="23" t="str">
        <f>IF($G136="","",MEDIAN(참조데이터!$H$1,참조데이터!$H$2,$G136+2*IF($G136=참조데이터!$H$1,1,-1)))</f>
        <v/>
      </c>
      <c r="L136" s="19" t="str">
        <f>IFERROR(INDEX(참조데이터!$D$2:$D$6,MATCH($M136,참조데이터!$E$2:$E$6,0)),"")</f>
        <v/>
      </c>
      <c r="M136" s="23" t="str">
        <f>IF($G136="","",MEDIAN(참조데이터!$H$1,참조데이터!$H$2,$G136+3*IF($G136=참조데이터!$H$1,1,-1)))</f>
        <v/>
      </c>
      <c r="N136" s="20" t="str">
        <f>IFERROR(INDEX(참조데이터!$D$2:$D$6,MATCH($O136,참조데이터!$E$2:$E$6,0)),"")</f>
        <v/>
      </c>
      <c r="O136" s="22" t="str">
        <f>IF($G136="","",MEDIAN(참조데이터!$H$1,참조데이터!$H$2,$G136+4*IF($G136=참조데이터!$H$1,1,-1)))</f>
        <v/>
      </c>
      <c r="P136" s="17"/>
      <c r="Q136" s="20"/>
      <c r="R136" s="24"/>
      <c r="S136" s="35" t="str">
        <f>IF($D136="","",IF($D136=참조데이터!$A$3,"",IFERROR(IF(VLOOKUP($D136,참조데이터!$A$1:$C$3,3,FALSE)="",1,VLOOKUP($D136,참조데이터!$A$1:$C$3,3,FALSE)),1)))</f>
        <v/>
      </c>
      <c r="T136" s="36" t="str">
        <f>IF($D136="","",IFERROR(VLOOKUP($D136,참조데이터!$A$9:$B$11,2,FALSE),""))</f>
        <v/>
      </c>
      <c r="U136" s="17"/>
    </row>
    <row r="137" spans="1:21" ht="22.05" customHeight="1" x14ac:dyDescent="0.4">
      <c r="A137" s="44"/>
      <c r="B137" s="48"/>
      <c r="C137" s="14"/>
      <c r="D137" s="15"/>
      <c r="E137" s="16"/>
      <c r="F137" s="17" t="str">
        <f>IFERROR(INDEX(참조데이터!$D$2:$D$6,MATCH($G137,참조데이터!$E$2:$E$6,0)),"")</f>
        <v/>
      </c>
      <c r="G137" s="23" t="str">
        <f>IF($D137="척도형",참조데이터!$E$2,"")</f>
        <v/>
      </c>
      <c r="H137" s="19" t="str">
        <f>IFERROR(INDEX(참조데이터!$D$2:$D$6,MATCH($I137,참조데이터!$E$2:$E$6,0)),"")</f>
        <v/>
      </c>
      <c r="I137" s="23" t="str">
        <f>IF($G137="","",MEDIAN(참조데이터!$H$1,참조데이터!$H$2,$G137+1*IF($G137=참조데이터!$H$1,1,-1)))</f>
        <v/>
      </c>
      <c r="J137" s="19" t="str">
        <f>IFERROR(INDEX(참조데이터!$D$2:$D$6,MATCH($K137,참조데이터!$E$2:$E$6,0)),"")</f>
        <v/>
      </c>
      <c r="K137" s="23" t="str">
        <f>IF($G137="","",MEDIAN(참조데이터!$H$1,참조데이터!$H$2,$G137+2*IF($G137=참조데이터!$H$1,1,-1)))</f>
        <v/>
      </c>
      <c r="L137" s="19" t="str">
        <f>IFERROR(INDEX(참조데이터!$D$2:$D$6,MATCH($M137,참조데이터!$E$2:$E$6,0)),"")</f>
        <v/>
      </c>
      <c r="M137" s="23" t="str">
        <f>IF($G137="","",MEDIAN(참조데이터!$H$1,참조데이터!$H$2,$G137+3*IF($G137=참조데이터!$H$1,1,-1)))</f>
        <v/>
      </c>
      <c r="N137" s="20" t="str">
        <f>IFERROR(INDEX(참조데이터!$D$2:$D$6,MATCH($O137,참조데이터!$E$2:$E$6,0)),"")</f>
        <v/>
      </c>
      <c r="O137" s="22" t="str">
        <f>IF($G137="","",MEDIAN(참조데이터!$H$1,참조데이터!$H$2,$G137+4*IF($G137=참조데이터!$H$1,1,-1)))</f>
        <v/>
      </c>
      <c r="P137" s="17"/>
      <c r="Q137" s="20"/>
      <c r="R137" s="24"/>
      <c r="S137" s="35" t="str">
        <f>IF($D137="","",IF($D137=참조데이터!$A$3,"",IFERROR(IF(VLOOKUP($D137,참조데이터!$A$1:$C$3,3,FALSE)="",1,VLOOKUP($D137,참조데이터!$A$1:$C$3,3,FALSE)),1)))</f>
        <v/>
      </c>
      <c r="T137" s="36" t="str">
        <f>IF($D137="","",IFERROR(VLOOKUP($D137,참조데이터!$A$9:$B$11,2,FALSE),""))</f>
        <v/>
      </c>
      <c r="U137" s="17"/>
    </row>
    <row r="138" spans="1:21" ht="22.05" customHeight="1" x14ac:dyDescent="0.4">
      <c r="A138" s="44"/>
      <c r="B138" s="48"/>
      <c r="C138" s="14"/>
      <c r="D138" s="15"/>
      <c r="E138" s="16"/>
      <c r="F138" s="17" t="str">
        <f>IFERROR(INDEX(참조데이터!$D$2:$D$6,MATCH($G138,참조데이터!$E$2:$E$6,0)),"")</f>
        <v/>
      </c>
      <c r="G138" s="23" t="str">
        <f>IF($D138="척도형",참조데이터!$E$2,"")</f>
        <v/>
      </c>
      <c r="H138" s="19" t="str">
        <f>IFERROR(INDEX(참조데이터!$D$2:$D$6,MATCH($I138,참조데이터!$E$2:$E$6,0)),"")</f>
        <v/>
      </c>
      <c r="I138" s="23" t="str">
        <f>IF($G138="","",MEDIAN(참조데이터!$H$1,참조데이터!$H$2,$G138+1*IF($G138=참조데이터!$H$1,1,-1)))</f>
        <v/>
      </c>
      <c r="J138" s="19" t="str">
        <f>IFERROR(INDEX(참조데이터!$D$2:$D$6,MATCH($K138,참조데이터!$E$2:$E$6,0)),"")</f>
        <v/>
      </c>
      <c r="K138" s="23" t="str">
        <f>IF($G138="","",MEDIAN(참조데이터!$H$1,참조데이터!$H$2,$G138+2*IF($G138=참조데이터!$H$1,1,-1)))</f>
        <v/>
      </c>
      <c r="L138" s="19" t="str">
        <f>IFERROR(INDEX(참조데이터!$D$2:$D$6,MATCH($M138,참조데이터!$E$2:$E$6,0)),"")</f>
        <v/>
      </c>
      <c r="M138" s="23" t="str">
        <f>IF($G138="","",MEDIAN(참조데이터!$H$1,참조데이터!$H$2,$G138+3*IF($G138=참조데이터!$H$1,1,-1)))</f>
        <v/>
      </c>
      <c r="N138" s="20" t="str">
        <f>IFERROR(INDEX(참조데이터!$D$2:$D$6,MATCH($O138,참조데이터!$E$2:$E$6,0)),"")</f>
        <v/>
      </c>
      <c r="O138" s="22" t="str">
        <f>IF($G138="","",MEDIAN(참조데이터!$H$1,참조데이터!$H$2,$G138+4*IF($G138=참조데이터!$H$1,1,-1)))</f>
        <v/>
      </c>
      <c r="P138" s="17"/>
      <c r="Q138" s="20"/>
      <c r="R138" s="24"/>
      <c r="S138" s="35" t="str">
        <f>IF($D138="","",IF($D138=참조데이터!$A$3,"",IFERROR(IF(VLOOKUP($D138,참조데이터!$A$1:$C$3,3,FALSE)="",1,VLOOKUP($D138,참조데이터!$A$1:$C$3,3,FALSE)),1)))</f>
        <v/>
      </c>
      <c r="T138" s="36" t="str">
        <f>IF($D138="","",IFERROR(VLOOKUP($D138,참조데이터!$A$9:$B$11,2,FALSE),""))</f>
        <v/>
      </c>
      <c r="U138" s="17"/>
    </row>
    <row r="139" spans="1:21" ht="22.05" customHeight="1" x14ac:dyDescent="0.4">
      <c r="A139" s="44"/>
      <c r="B139" s="48"/>
      <c r="C139" s="14"/>
      <c r="D139" s="15"/>
      <c r="E139" s="16"/>
      <c r="F139" s="17" t="str">
        <f>IFERROR(INDEX(참조데이터!$D$2:$D$6,MATCH($G139,참조데이터!$E$2:$E$6,0)),"")</f>
        <v/>
      </c>
      <c r="G139" s="23" t="str">
        <f>IF($D139="척도형",참조데이터!$E$2,"")</f>
        <v/>
      </c>
      <c r="H139" s="19" t="str">
        <f>IFERROR(INDEX(참조데이터!$D$2:$D$6,MATCH($I139,참조데이터!$E$2:$E$6,0)),"")</f>
        <v/>
      </c>
      <c r="I139" s="23" t="str">
        <f>IF($G139="","",MEDIAN(참조데이터!$H$1,참조데이터!$H$2,$G139+1*IF($G139=참조데이터!$H$1,1,-1)))</f>
        <v/>
      </c>
      <c r="J139" s="19" t="str">
        <f>IFERROR(INDEX(참조데이터!$D$2:$D$6,MATCH($K139,참조데이터!$E$2:$E$6,0)),"")</f>
        <v/>
      </c>
      <c r="K139" s="23" t="str">
        <f>IF($G139="","",MEDIAN(참조데이터!$H$1,참조데이터!$H$2,$G139+2*IF($G139=참조데이터!$H$1,1,-1)))</f>
        <v/>
      </c>
      <c r="L139" s="19" t="str">
        <f>IFERROR(INDEX(참조데이터!$D$2:$D$6,MATCH($M139,참조데이터!$E$2:$E$6,0)),"")</f>
        <v/>
      </c>
      <c r="M139" s="23" t="str">
        <f>IF($G139="","",MEDIAN(참조데이터!$H$1,참조데이터!$H$2,$G139+3*IF($G139=참조데이터!$H$1,1,-1)))</f>
        <v/>
      </c>
      <c r="N139" s="20" t="str">
        <f>IFERROR(INDEX(참조데이터!$D$2:$D$6,MATCH($O139,참조데이터!$E$2:$E$6,0)),"")</f>
        <v/>
      </c>
      <c r="O139" s="22" t="str">
        <f>IF($G139="","",MEDIAN(참조데이터!$H$1,참조데이터!$H$2,$G139+4*IF($G139=참조데이터!$H$1,1,-1)))</f>
        <v/>
      </c>
      <c r="P139" s="17"/>
      <c r="Q139" s="20"/>
      <c r="R139" s="24"/>
      <c r="S139" s="35" t="str">
        <f>IF($D139="","",IF($D139=참조데이터!$A$3,"",IFERROR(IF(VLOOKUP($D139,참조데이터!$A$1:$C$3,3,FALSE)="",1,VLOOKUP($D139,참조데이터!$A$1:$C$3,3,FALSE)),1)))</f>
        <v/>
      </c>
      <c r="T139" s="36" t="str">
        <f>IF($D139="","",IFERROR(VLOOKUP($D139,참조데이터!$A$9:$B$11,2,FALSE),""))</f>
        <v/>
      </c>
      <c r="U139" s="17"/>
    </row>
    <row r="140" spans="1:21" ht="22.05" customHeight="1" x14ac:dyDescent="0.4">
      <c r="A140" s="44"/>
      <c r="B140" s="48"/>
      <c r="C140" s="14"/>
      <c r="D140" s="15"/>
      <c r="E140" s="16"/>
      <c r="F140" s="17" t="str">
        <f>IFERROR(INDEX(참조데이터!$D$2:$D$6,MATCH($G140,참조데이터!$E$2:$E$6,0)),"")</f>
        <v/>
      </c>
      <c r="G140" s="23" t="str">
        <f>IF($D140="척도형",참조데이터!$E$2,"")</f>
        <v/>
      </c>
      <c r="H140" s="19" t="str">
        <f>IFERROR(INDEX(참조데이터!$D$2:$D$6,MATCH($I140,참조데이터!$E$2:$E$6,0)),"")</f>
        <v/>
      </c>
      <c r="I140" s="23" t="str">
        <f>IF($G140="","",MEDIAN(참조데이터!$H$1,참조데이터!$H$2,$G140+1*IF($G140=참조데이터!$H$1,1,-1)))</f>
        <v/>
      </c>
      <c r="J140" s="19" t="str">
        <f>IFERROR(INDEX(참조데이터!$D$2:$D$6,MATCH($K140,참조데이터!$E$2:$E$6,0)),"")</f>
        <v/>
      </c>
      <c r="K140" s="23" t="str">
        <f>IF($G140="","",MEDIAN(참조데이터!$H$1,참조데이터!$H$2,$G140+2*IF($G140=참조데이터!$H$1,1,-1)))</f>
        <v/>
      </c>
      <c r="L140" s="19" t="str">
        <f>IFERROR(INDEX(참조데이터!$D$2:$D$6,MATCH($M140,참조데이터!$E$2:$E$6,0)),"")</f>
        <v/>
      </c>
      <c r="M140" s="23" t="str">
        <f>IF($G140="","",MEDIAN(참조데이터!$H$1,참조데이터!$H$2,$G140+3*IF($G140=참조데이터!$H$1,1,-1)))</f>
        <v/>
      </c>
      <c r="N140" s="20" t="str">
        <f>IFERROR(INDEX(참조데이터!$D$2:$D$6,MATCH($O140,참조데이터!$E$2:$E$6,0)),"")</f>
        <v/>
      </c>
      <c r="O140" s="22" t="str">
        <f>IF($G140="","",MEDIAN(참조데이터!$H$1,참조데이터!$H$2,$G140+4*IF($G140=참조데이터!$H$1,1,-1)))</f>
        <v/>
      </c>
      <c r="P140" s="17"/>
      <c r="Q140" s="20"/>
      <c r="R140" s="24"/>
      <c r="S140" s="35" t="str">
        <f>IF($D140="","",IF($D140=참조데이터!$A$3,"",IFERROR(IF(VLOOKUP($D140,참조데이터!$A$1:$C$3,3,FALSE)="",1,VLOOKUP($D140,참조데이터!$A$1:$C$3,3,FALSE)),1)))</f>
        <v/>
      </c>
      <c r="T140" s="36" t="str">
        <f>IF($D140="","",IFERROR(VLOOKUP($D140,참조데이터!$A$9:$B$11,2,FALSE),""))</f>
        <v/>
      </c>
      <c r="U140" s="17"/>
    </row>
    <row r="141" spans="1:21" ht="22.05" customHeight="1" x14ac:dyDescent="0.4">
      <c r="A141" s="44"/>
      <c r="B141" s="48"/>
      <c r="C141" s="14"/>
      <c r="D141" s="15"/>
      <c r="E141" s="16"/>
      <c r="F141" s="17" t="str">
        <f>IFERROR(INDEX(참조데이터!$D$2:$D$6,MATCH($G141,참조데이터!$E$2:$E$6,0)),"")</f>
        <v/>
      </c>
      <c r="G141" s="23" t="str">
        <f>IF($D141="척도형",참조데이터!$E$2,"")</f>
        <v/>
      </c>
      <c r="H141" s="19" t="str">
        <f>IFERROR(INDEX(참조데이터!$D$2:$D$6,MATCH($I141,참조데이터!$E$2:$E$6,0)),"")</f>
        <v/>
      </c>
      <c r="I141" s="23" t="str">
        <f>IF($G141="","",MEDIAN(참조데이터!$H$1,참조데이터!$H$2,$G141+1*IF($G141=참조데이터!$H$1,1,-1)))</f>
        <v/>
      </c>
      <c r="J141" s="19" t="str">
        <f>IFERROR(INDEX(참조데이터!$D$2:$D$6,MATCH($K141,참조데이터!$E$2:$E$6,0)),"")</f>
        <v/>
      </c>
      <c r="K141" s="23" t="str">
        <f>IF($G141="","",MEDIAN(참조데이터!$H$1,참조데이터!$H$2,$G141+2*IF($G141=참조데이터!$H$1,1,-1)))</f>
        <v/>
      </c>
      <c r="L141" s="19" t="str">
        <f>IFERROR(INDEX(참조데이터!$D$2:$D$6,MATCH($M141,참조데이터!$E$2:$E$6,0)),"")</f>
        <v/>
      </c>
      <c r="M141" s="23" t="str">
        <f>IF($G141="","",MEDIAN(참조데이터!$H$1,참조데이터!$H$2,$G141+3*IF($G141=참조데이터!$H$1,1,-1)))</f>
        <v/>
      </c>
      <c r="N141" s="20" t="str">
        <f>IFERROR(INDEX(참조데이터!$D$2:$D$6,MATCH($O141,참조데이터!$E$2:$E$6,0)),"")</f>
        <v/>
      </c>
      <c r="O141" s="22" t="str">
        <f>IF($G141="","",MEDIAN(참조데이터!$H$1,참조데이터!$H$2,$G141+4*IF($G141=참조데이터!$H$1,1,-1)))</f>
        <v/>
      </c>
      <c r="P141" s="17"/>
      <c r="Q141" s="20"/>
      <c r="R141" s="24"/>
      <c r="S141" s="35" t="str">
        <f>IF($D141="","",IF($D141=참조데이터!$A$3,"",IFERROR(IF(VLOOKUP($D141,참조데이터!$A$1:$C$3,3,FALSE)="",1,VLOOKUP($D141,참조데이터!$A$1:$C$3,3,FALSE)),1)))</f>
        <v/>
      </c>
      <c r="T141" s="36" t="str">
        <f>IF($D141="","",IFERROR(VLOOKUP($D141,참조데이터!$A$9:$B$11,2,FALSE),""))</f>
        <v/>
      </c>
      <c r="U141" s="17"/>
    </row>
    <row r="142" spans="1:21" ht="22.05" customHeight="1" x14ac:dyDescent="0.4">
      <c r="A142" s="44"/>
      <c r="B142" s="48"/>
      <c r="C142" s="14"/>
      <c r="D142" s="15"/>
      <c r="E142" s="16"/>
      <c r="F142" s="17" t="str">
        <f>IFERROR(INDEX(참조데이터!$D$2:$D$6,MATCH($G142,참조데이터!$E$2:$E$6,0)),"")</f>
        <v/>
      </c>
      <c r="G142" s="23" t="str">
        <f>IF($D142="척도형",참조데이터!$E$2,"")</f>
        <v/>
      </c>
      <c r="H142" s="19" t="str">
        <f>IFERROR(INDEX(참조데이터!$D$2:$D$6,MATCH($I142,참조데이터!$E$2:$E$6,0)),"")</f>
        <v/>
      </c>
      <c r="I142" s="23" t="str">
        <f>IF($G142="","",MEDIAN(참조데이터!$H$1,참조데이터!$H$2,$G142+1*IF($G142=참조데이터!$H$1,1,-1)))</f>
        <v/>
      </c>
      <c r="J142" s="19" t="str">
        <f>IFERROR(INDEX(참조데이터!$D$2:$D$6,MATCH($K142,참조데이터!$E$2:$E$6,0)),"")</f>
        <v/>
      </c>
      <c r="K142" s="23" t="str">
        <f>IF($G142="","",MEDIAN(참조데이터!$H$1,참조데이터!$H$2,$G142+2*IF($G142=참조데이터!$H$1,1,-1)))</f>
        <v/>
      </c>
      <c r="L142" s="19" t="str">
        <f>IFERROR(INDEX(참조데이터!$D$2:$D$6,MATCH($M142,참조데이터!$E$2:$E$6,0)),"")</f>
        <v/>
      </c>
      <c r="M142" s="23" t="str">
        <f>IF($G142="","",MEDIAN(참조데이터!$H$1,참조데이터!$H$2,$G142+3*IF($G142=참조데이터!$H$1,1,-1)))</f>
        <v/>
      </c>
      <c r="N142" s="20" t="str">
        <f>IFERROR(INDEX(참조데이터!$D$2:$D$6,MATCH($O142,참조데이터!$E$2:$E$6,0)),"")</f>
        <v/>
      </c>
      <c r="O142" s="22" t="str">
        <f>IF($G142="","",MEDIAN(참조데이터!$H$1,참조데이터!$H$2,$G142+4*IF($G142=참조데이터!$H$1,1,-1)))</f>
        <v/>
      </c>
      <c r="P142" s="17"/>
      <c r="Q142" s="20"/>
      <c r="R142" s="24"/>
      <c r="S142" s="35" t="str">
        <f>IF($D142="","",IF($D142=참조데이터!$A$3,"",IFERROR(IF(VLOOKUP($D142,참조데이터!$A$1:$C$3,3,FALSE)="",1,VLOOKUP($D142,참조데이터!$A$1:$C$3,3,FALSE)),1)))</f>
        <v/>
      </c>
      <c r="T142" s="36" t="str">
        <f>IF($D142="","",IFERROR(VLOOKUP($D142,참조데이터!$A$9:$B$11,2,FALSE),""))</f>
        <v/>
      </c>
      <c r="U142" s="17"/>
    </row>
    <row r="143" spans="1:21" ht="22.05" customHeight="1" x14ac:dyDescent="0.4">
      <c r="A143" s="44"/>
      <c r="B143" s="48"/>
      <c r="C143" s="14"/>
      <c r="D143" s="15"/>
      <c r="E143" s="16"/>
      <c r="F143" s="17" t="str">
        <f>IFERROR(INDEX(참조데이터!$D$2:$D$6,MATCH($G143,참조데이터!$E$2:$E$6,0)),"")</f>
        <v/>
      </c>
      <c r="G143" s="23" t="str">
        <f>IF($D143="척도형",참조데이터!$E$2,"")</f>
        <v/>
      </c>
      <c r="H143" s="19" t="str">
        <f>IFERROR(INDEX(참조데이터!$D$2:$D$6,MATCH($I143,참조데이터!$E$2:$E$6,0)),"")</f>
        <v/>
      </c>
      <c r="I143" s="23" t="str">
        <f>IF($G143="","",MEDIAN(참조데이터!$H$1,참조데이터!$H$2,$G143+1*IF($G143=참조데이터!$H$1,1,-1)))</f>
        <v/>
      </c>
      <c r="J143" s="19" t="str">
        <f>IFERROR(INDEX(참조데이터!$D$2:$D$6,MATCH($K143,참조데이터!$E$2:$E$6,0)),"")</f>
        <v/>
      </c>
      <c r="K143" s="23" t="str">
        <f>IF($G143="","",MEDIAN(참조데이터!$H$1,참조데이터!$H$2,$G143+2*IF($G143=참조데이터!$H$1,1,-1)))</f>
        <v/>
      </c>
      <c r="L143" s="19" t="str">
        <f>IFERROR(INDEX(참조데이터!$D$2:$D$6,MATCH($M143,참조데이터!$E$2:$E$6,0)),"")</f>
        <v/>
      </c>
      <c r="M143" s="23" t="str">
        <f>IF($G143="","",MEDIAN(참조데이터!$H$1,참조데이터!$H$2,$G143+3*IF($G143=참조데이터!$H$1,1,-1)))</f>
        <v/>
      </c>
      <c r="N143" s="20" t="str">
        <f>IFERROR(INDEX(참조데이터!$D$2:$D$6,MATCH($O143,참조데이터!$E$2:$E$6,0)),"")</f>
        <v/>
      </c>
      <c r="O143" s="22" t="str">
        <f>IF($G143="","",MEDIAN(참조데이터!$H$1,참조데이터!$H$2,$G143+4*IF($G143=참조데이터!$H$1,1,-1)))</f>
        <v/>
      </c>
      <c r="P143" s="17"/>
      <c r="Q143" s="20"/>
      <c r="R143" s="24"/>
      <c r="S143" s="35" t="str">
        <f>IF($D143="","",IF($D143=참조데이터!$A$3,"",IFERROR(IF(VLOOKUP($D143,참조데이터!$A$1:$C$3,3,FALSE)="",1,VLOOKUP($D143,참조데이터!$A$1:$C$3,3,FALSE)),1)))</f>
        <v/>
      </c>
      <c r="T143" s="36" t="str">
        <f>IF($D143="","",IFERROR(VLOOKUP($D143,참조데이터!$A$9:$B$11,2,FALSE),""))</f>
        <v/>
      </c>
      <c r="U143" s="17"/>
    </row>
    <row r="144" spans="1:21" ht="22.05" customHeight="1" x14ac:dyDescent="0.4">
      <c r="A144" s="44"/>
      <c r="B144" s="48"/>
      <c r="C144" s="14"/>
      <c r="D144" s="15"/>
      <c r="E144" s="16"/>
      <c r="F144" s="17" t="str">
        <f>IFERROR(INDEX(참조데이터!$D$2:$D$6,MATCH($G144,참조데이터!$E$2:$E$6,0)),"")</f>
        <v/>
      </c>
      <c r="G144" s="23" t="str">
        <f>IF($D144="척도형",참조데이터!$E$2,"")</f>
        <v/>
      </c>
      <c r="H144" s="19" t="str">
        <f>IFERROR(INDEX(참조데이터!$D$2:$D$6,MATCH($I144,참조데이터!$E$2:$E$6,0)),"")</f>
        <v/>
      </c>
      <c r="I144" s="23" t="str">
        <f>IF($G144="","",MEDIAN(참조데이터!$H$1,참조데이터!$H$2,$G144+1*IF($G144=참조데이터!$H$1,1,-1)))</f>
        <v/>
      </c>
      <c r="J144" s="19" t="str">
        <f>IFERROR(INDEX(참조데이터!$D$2:$D$6,MATCH($K144,참조데이터!$E$2:$E$6,0)),"")</f>
        <v/>
      </c>
      <c r="K144" s="23" t="str">
        <f>IF($G144="","",MEDIAN(참조데이터!$H$1,참조데이터!$H$2,$G144+2*IF($G144=참조데이터!$H$1,1,-1)))</f>
        <v/>
      </c>
      <c r="L144" s="19" t="str">
        <f>IFERROR(INDEX(참조데이터!$D$2:$D$6,MATCH($M144,참조데이터!$E$2:$E$6,0)),"")</f>
        <v/>
      </c>
      <c r="M144" s="23" t="str">
        <f>IF($G144="","",MEDIAN(참조데이터!$H$1,참조데이터!$H$2,$G144+3*IF($G144=참조데이터!$H$1,1,-1)))</f>
        <v/>
      </c>
      <c r="N144" s="20" t="str">
        <f>IFERROR(INDEX(참조데이터!$D$2:$D$6,MATCH($O144,참조데이터!$E$2:$E$6,0)),"")</f>
        <v/>
      </c>
      <c r="O144" s="22" t="str">
        <f>IF($G144="","",MEDIAN(참조데이터!$H$1,참조데이터!$H$2,$G144+4*IF($G144=참조데이터!$H$1,1,-1)))</f>
        <v/>
      </c>
      <c r="P144" s="17"/>
      <c r="Q144" s="20"/>
      <c r="R144" s="24"/>
      <c r="S144" s="35" t="str">
        <f>IF($D144="","",IF($D144=참조데이터!$A$3,"",IFERROR(IF(VLOOKUP($D144,참조데이터!$A$1:$C$3,3,FALSE)="",1,VLOOKUP($D144,참조데이터!$A$1:$C$3,3,FALSE)),1)))</f>
        <v/>
      </c>
      <c r="T144" s="36" t="str">
        <f>IF($D144="","",IFERROR(VLOOKUP($D144,참조데이터!$A$9:$B$11,2,FALSE),""))</f>
        <v/>
      </c>
      <c r="U144" s="17"/>
    </row>
    <row r="145" spans="1:21" ht="22.05" customHeight="1" x14ac:dyDescent="0.4">
      <c r="A145" s="44"/>
      <c r="B145" s="48"/>
      <c r="C145" s="14"/>
      <c r="D145" s="15"/>
      <c r="E145" s="16"/>
      <c r="F145" s="17" t="str">
        <f>IFERROR(INDEX(참조데이터!$D$2:$D$6,MATCH($G145,참조데이터!$E$2:$E$6,0)),"")</f>
        <v/>
      </c>
      <c r="G145" s="23" t="str">
        <f>IF($D145="척도형",참조데이터!$E$2,"")</f>
        <v/>
      </c>
      <c r="H145" s="19" t="str">
        <f>IFERROR(INDEX(참조데이터!$D$2:$D$6,MATCH($I145,참조데이터!$E$2:$E$6,0)),"")</f>
        <v/>
      </c>
      <c r="I145" s="23" t="str">
        <f>IF($G145="","",MEDIAN(참조데이터!$H$1,참조데이터!$H$2,$G145+1*IF($G145=참조데이터!$H$1,1,-1)))</f>
        <v/>
      </c>
      <c r="J145" s="19" t="str">
        <f>IFERROR(INDEX(참조데이터!$D$2:$D$6,MATCH($K145,참조데이터!$E$2:$E$6,0)),"")</f>
        <v/>
      </c>
      <c r="K145" s="23" t="str">
        <f>IF($G145="","",MEDIAN(참조데이터!$H$1,참조데이터!$H$2,$G145+2*IF($G145=참조데이터!$H$1,1,-1)))</f>
        <v/>
      </c>
      <c r="L145" s="19" t="str">
        <f>IFERROR(INDEX(참조데이터!$D$2:$D$6,MATCH($M145,참조데이터!$E$2:$E$6,0)),"")</f>
        <v/>
      </c>
      <c r="M145" s="23" t="str">
        <f>IF($G145="","",MEDIAN(참조데이터!$H$1,참조데이터!$H$2,$G145+3*IF($G145=참조데이터!$H$1,1,-1)))</f>
        <v/>
      </c>
      <c r="N145" s="20" t="str">
        <f>IFERROR(INDEX(참조데이터!$D$2:$D$6,MATCH($O145,참조데이터!$E$2:$E$6,0)),"")</f>
        <v/>
      </c>
      <c r="O145" s="22" t="str">
        <f>IF($G145="","",MEDIAN(참조데이터!$H$1,참조데이터!$H$2,$G145+4*IF($G145=참조데이터!$H$1,1,-1)))</f>
        <v/>
      </c>
      <c r="P145" s="17"/>
      <c r="Q145" s="20"/>
      <c r="R145" s="24"/>
      <c r="S145" s="35" t="str">
        <f>IF($D145="","",IF($D145=참조데이터!$A$3,"",IFERROR(IF(VLOOKUP($D145,참조데이터!$A$1:$C$3,3,FALSE)="",1,VLOOKUP($D145,참조데이터!$A$1:$C$3,3,FALSE)),1)))</f>
        <v/>
      </c>
      <c r="T145" s="36" t="str">
        <f>IF($D145="","",IFERROR(VLOOKUP($D145,참조데이터!$A$9:$B$11,2,FALSE),""))</f>
        <v/>
      </c>
      <c r="U145" s="17"/>
    </row>
    <row r="146" spans="1:21" ht="22.05" customHeight="1" x14ac:dyDescent="0.4">
      <c r="A146" s="44"/>
      <c r="B146" s="48"/>
      <c r="C146" s="14"/>
      <c r="D146" s="15"/>
      <c r="E146" s="16"/>
      <c r="F146" s="17" t="str">
        <f>IFERROR(INDEX(참조데이터!$D$2:$D$6,MATCH($G146,참조데이터!$E$2:$E$6,0)),"")</f>
        <v/>
      </c>
      <c r="G146" s="23" t="str">
        <f>IF($D146="척도형",참조데이터!$E$2,"")</f>
        <v/>
      </c>
      <c r="H146" s="19" t="str">
        <f>IFERROR(INDEX(참조데이터!$D$2:$D$6,MATCH($I146,참조데이터!$E$2:$E$6,0)),"")</f>
        <v/>
      </c>
      <c r="I146" s="23" t="str">
        <f>IF($G146="","",MEDIAN(참조데이터!$H$1,참조데이터!$H$2,$G146+1*IF($G146=참조데이터!$H$1,1,-1)))</f>
        <v/>
      </c>
      <c r="J146" s="19" t="str">
        <f>IFERROR(INDEX(참조데이터!$D$2:$D$6,MATCH($K146,참조데이터!$E$2:$E$6,0)),"")</f>
        <v/>
      </c>
      <c r="K146" s="23" t="str">
        <f>IF($G146="","",MEDIAN(참조데이터!$H$1,참조데이터!$H$2,$G146+2*IF($G146=참조데이터!$H$1,1,-1)))</f>
        <v/>
      </c>
      <c r="L146" s="19" t="str">
        <f>IFERROR(INDEX(참조데이터!$D$2:$D$6,MATCH($M146,참조데이터!$E$2:$E$6,0)),"")</f>
        <v/>
      </c>
      <c r="M146" s="23" t="str">
        <f>IF($G146="","",MEDIAN(참조데이터!$H$1,참조데이터!$H$2,$G146+3*IF($G146=참조데이터!$H$1,1,-1)))</f>
        <v/>
      </c>
      <c r="N146" s="20" t="str">
        <f>IFERROR(INDEX(참조데이터!$D$2:$D$6,MATCH($O146,참조데이터!$E$2:$E$6,0)),"")</f>
        <v/>
      </c>
      <c r="O146" s="22" t="str">
        <f>IF($G146="","",MEDIAN(참조데이터!$H$1,참조데이터!$H$2,$G146+4*IF($G146=참조데이터!$H$1,1,-1)))</f>
        <v/>
      </c>
      <c r="P146" s="17"/>
      <c r="Q146" s="20"/>
      <c r="R146" s="24"/>
      <c r="S146" s="35" t="str">
        <f>IF($D146="","",IF($D146=참조데이터!$A$3,"",IFERROR(IF(VLOOKUP($D146,참조데이터!$A$1:$C$3,3,FALSE)="",1,VLOOKUP($D146,참조데이터!$A$1:$C$3,3,FALSE)),1)))</f>
        <v/>
      </c>
      <c r="T146" s="36" t="str">
        <f>IF($D146="","",IFERROR(VLOOKUP($D146,참조데이터!$A$9:$B$11,2,FALSE),""))</f>
        <v/>
      </c>
      <c r="U146" s="17"/>
    </row>
    <row r="147" spans="1:21" ht="22.05" customHeight="1" x14ac:dyDescent="0.4">
      <c r="A147" s="44"/>
      <c r="B147" s="48"/>
      <c r="C147" s="14"/>
      <c r="D147" s="15"/>
      <c r="E147" s="16"/>
      <c r="F147" s="17" t="str">
        <f>IFERROR(INDEX(참조데이터!$D$2:$D$6,MATCH($G147,참조데이터!$E$2:$E$6,0)),"")</f>
        <v/>
      </c>
      <c r="G147" s="23" t="str">
        <f>IF($D147="척도형",참조데이터!$E$2,"")</f>
        <v/>
      </c>
      <c r="H147" s="19" t="str">
        <f>IFERROR(INDEX(참조데이터!$D$2:$D$6,MATCH($I147,참조데이터!$E$2:$E$6,0)),"")</f>
        <v/>
      </c>
      <c r="I147" s="23" t="str">
        <f>IF($G147="","",MEDIAN(참조데이터!$H$1,참조데이터!$H$2,$G147+1*IF($G147=참조데이터!$H$1,1,-1)))</f>
        <v/>
      </c>
      <c r="J147" s="19" t="str">
        <f>IFERROR(INDEX(참조데이터!$D$2:$D$6,MATCH($K147,참조데이터!$E$2:$E$6,0)),"")</f>
        <v/>
      </c>
      <c r="K147" s="23" t="str">
        <f>IF($G147="","",MEDIAN(참조데이터!$H$1,참조데이터!$H$2,$G147+2*IF($G147=참조데이터!$H$1,1,-1)))</f>
        <v/>
      </c>
      <c r="L147" s="19" t="str">
        <f>IFERROR(INDEX(참조데이터!$D$2:$D$6,MATCH($M147,참조데이터!$E$2:$E$6,0)),"")</f>
        <v/>
      </c>
      <c r="M147" s="23" t="str">
        <f>IF($G147="","",MEDIAN(참조데이터!$H$1,참조데이터!$H$2,$G147+3*IF($G147=참조데이터!$H$1,1,-1)))</f>
        <v/>
      </c>
      <c r="N147" s="20" t="str">
        <f>IFERROR(INDEX(참조데이터!$D$2:$D$6,MATCH($O147,참조데이터!$E$2:$E$6,0)),"")</f>
        <v/>
      </c>
      <c r="O147" s="22" t="str">
        <f>IF($G147="","",MEDIAN(참조데이터!$H$1,참조데이터!$H$2,$G147+4*IF($G147=참조데이터!$H$1,1,-1)))</f>
        <v/>
      </c>
      <c r="P147" s="17"/>
      <c r="Q147" s="20"/>
      <c r="R147" s="24"/>
      <c r="S147" s="35" t="str">
        <f>IF($D147="","",IF($D147=참조데이터!$A$3,"",IFERROR(IF(VLOOKUP($D147,참조데이터!$A$1:$C$3,3,FALSE)="",1,VLOOKUP($D147,참조데이터!$A$1:$C$3,3,FALSE)),1)))</f>
        <v/>
      </c>
      <c r="T147" s="36" t="str">
        <f>IF($D147="","",IFERROR(VLOOKUP($D147,참조데이터!$A$9:$B$11,2,FALSE),""))</f>
        <v/>
      </c>
      <c r="U147" s="17"/>
    </row>
    <row r="148" spans="1:21" ht="22.05" customHeight="1" x14ac:dyDescent="0.4">
      <c r="A148" s="44"/>
      <c r="B148" s="48"/>
      <c r="C148" s="14"/>
      <c r="D148" s="15"/>
      <c r="E148" s="16"/>
      <c r="F148" s="17" t="str">
        <f>IFERROR(INDEX(참조데이터!$D$2:$D$6,MATCH($G148,참조데이터!$E$2:$E$6,0)),"")</f>
        <v/>
      </c>
      <c r="G148" s="23" t="str">
        <f>IF($D148="척도형",참조데이터!$E$2,"")</f>
        <v/>
      </c>
      <c r="H148" s="19" t="str">
        <f>IFERROR(INDEX(참조데이터!$D$2:$D$6,MATCH($I148,참조데이터!$E$2:$E$6,0)),"")</f>
        <v/>
      </c>
      <c r="I148" s="23" t="str">
        <f>IF($G148="","",MEDIAN(참조데이터!$H$1,참조데이터!$H$2,$G148+1*IF($G148=참조데이터!$H$1,1,-1)))</f>
        <v/>
      </c>
      <c r="J148" s="19" t="str">
        <f>IFERROR(INDEX(참조데이터!$D$2:$D$6,MATCH($K148,참조데이터!$E$2:$E$6,0)),"")</f>
        <v/>
      </c>
      <c r="K148" s="23" t="str">
        <f>IF($G148="","",MEDIAN(참조데이터!$H$1,참조데이터!$H$2,$G148+2*IF($G148=참조데이터!$H$1,1,-1)))</f>
        <v/>
      </c>
      <c r="L148" s="19" t="str">
        <f>IFERROR(INDEX(참조데이터!$D$2:$D$6,MATCH($M148,참조데이터!$E$2:$E$6,0)),"")</f>
        <v/>
      </c>
      <c r="M148" s="23" t="str">
        <f>IF($G148="","",MEDIAN(참조데이터!$H$1,참조데이터!$H$2,$G148+3*IF($G148=참조데이터!$H$1,1,-1)))</f>
        <v/>
      </c>
      <c r="N148" s="20" t="str">
        <f>IFERROR(INDEX(참조데이터!$D$2:$D$6,MATCH($O148,참조데이터!$E$2:$E$6,0)),"")</f>
        <v/>
      </c>
      <c r="O148" s="22" t="str">
        <f>IF($G148="","",MEDIAN(참조데이터!$H$1,참조데이터!$H$2,$G148+4*IF($G148=참조데이터!$H$1,1,-1)))</f>
        <v/>
      </c>
      <c r="P148" s="17"/>
      <c r="Q148" s="20"/>
      <c r="R148" s="24"/>
      <c r="S148" s="35" t="str">
        <f>IF($D148="","",IF($D148=참조데이터!$A$3,"",IFERROR(IF(VLOOKUP($D148,참조데이터!$A$1:$C$3,3,FALSE)="",1,VLOOKUP($D148,참조데이터!$A$1:$C$3,3,FALSE)),1)))</f>
        <v/>
      </c>
      <c r="T148" s="36" t="str">
        <f>IF($D148="","",IFERROR(VLOOKUP($D148,참조데이터!$A$9:$B$11,2,FALSE),""))</f>
        <v/>
      </c>
      <c r="U148" s="17"/>
    </row>
    <row r="149" spans="1:21" ht="22.05" customHeight="1" x14ac:dyDescent="0.4">
      <c r="A149" s="44"/>
      <c r="B149" s="48"/>
      <c r="C149" s="14"/>
      <c r="D149" s="15"/>
      <c r="E149" s="16"/>
      <c r="F149" s="17" t="str">
        <f>IFERROR(INDEX(참조데이터!$D$2:$D$6,MATCH($G149,참조데이터!$E$2:$E$6,0)),"")</f>
        <v/>
      </c>
      <c r="G149" s="23" t="str">
        <f>IF($D149="척도형",참조데이터!$E$2,"")</f>
        <v/>
      </c>
      <c r="H149" s="19" t="str">
        <f>IFERROR(INDEX(참조데이터!$D$2:$D$6,MATCH($I149,참조데이터!$E$2:$E$6,0)),"")</f>
        <v/>
      </c>
      <c r="I149" s="23" t="str">
        <f>IF($G149="","",MEDIAN(참조데이터!$H$1,참조데이터!$H$2,$G149+1*IF($G149=참조데이터!$H$1,1,-1)))</f>
        <v/>
      </c>
      <c r="J149" s="19" t="str">
        <f>IFERROR(INDEX(참조데이터!$D$2:$D$6,MATCH($K149,참조데이터!$E$2:$E$6,0)),"")</f>
        <v/>
      </c>
      <c r="K149" s="23" t="str">
        <f>IF($G149="","",MEDIAN(참조데이터!$H$1,참조데이터!$H$2,$G149+2*IF($G149=참조데이터!$H$1,1,-1)))</f>
        <v/>
      </c>
      <c r="L149" s="19" t="str">
        <f>IFERROR(INDEX(참조데이터!$D$2:$D$6,MATCH($M149,참조데이터!$E$2:$E$6,0)),"")</f>
        <v/>
      </c>
      <c r="M149" s="23" t="str">
        <f>IF($G149="","",MEDIAN(참조데이터!$H$1,참조데이터!$H$2,$G149+3*IF($G149=참조데이터!$H$1,1,-1)))</f>
        <v/>
      </c>
      <c r="N149" s="20" t="str">
        <f>IFERROR(INDEX(참조데이터!$D$2:$D$6,MATCH($O149,참조데이터!$E$2:$E$6,0)),"")</f>
        <v/>
      </c>
      <c r="O149" s="22" t="str">
        <f>IF($G149="","",MEDIAN(참조데이터!$H$1,참조데이터!$H$2,$G149+4*IF($G149=참조데이터!$H$1,1,-1)))</f>
        <v/>
      </c>
      <c r="P149" s="17"/>
      <c r="Q149" s="20"/>
      <c r="R149" s="24"/>
      <c r="S149" s="35" t="str">
        <f>IF($D149="","",IF($D149=참조데이터!$A$3,"",IFERROR(IF(VLOOKUP($D149,참조데이터!$A$1:$C$3,3,FALSE)="",1,VLOOKUP($D149,참조데이터!$A$1:$C$3,3,FALSE)),1)))</f>
        <v/>
      </c>
      <c r="T149" s="36" t="str">
        <f>IF($D149="","",IFERROR(VLOOKUP($D149,참조데이터!$A$9:$B$11,2,FALSE),""))</f>
        <v/>
      </c>
      <c r="U149" s="17"/>
    </row>
    <row r="150" spans="1:21" ht="22.05" customHeight="1" x14ac:dyDescent="0.4">
      <c r="A150" s="44"/>
      <c r="B150" s="48"/>
      <c r="C150" s="14"/>
      <c r="D150" s="15"/>
      <c r="E150" s="16"/>
      <c r="F150" s="17" t="str">
        <f>IFERROR(INDEX(참조데이터!$D$2:$D$6,MATCH($G150,참조데이터!$E$2:$E$6,0)),"")</f>
        <v/>
      </c>
      <c r="G150" s="23" t="str">
        <f>IF($D150="척도형",참조데이터!$E$2,"")</f>
        <v/>
      </c>
      <c r="H150" s="19" t="str">
        <f>IFERROR(INDEX(참조데이터!$D$2:$D$6,MATCH($I150,참조데이터!$E$2:$E$6,0)),"")</f>
        <v/>
      </c>
      <c r="I150" s="23" t="str">
        <f>IF($G150="","",MEDIAN(참조데이터!$H$1,참조데이터!$H$2,$G150+1*IF($G150=참조데이터!$H$1,1,-1)))</f>
        <v/>
      </c>
      <c r="J150" s="19" t="str">
        <f>IFERROR(INDEX(참조데이터!$D$2:$D$6,MATCH($K150,참조데이터!$E$2:$E$6,0)),"")</f>
        <v/>
      </c>
      <c r="K150" s="23" t="str">
        <f>IF($G150="","",MEDIAN(참조데이터!$H$1,참조데이터!$H$2,$G150+2*IF($G150=참조데이터!$H$1,1,-1)))</f>
        <v/>
      </c>
      <c r="L150" s="19" t="str">
        <f>IFERROR(INDEX(참조데이터!$D$2:$D$6,MATCH($M150,참조데이터!$E$2:$E$6,0)),"")</f>
        <v/>
      </c>
      <c r="M150" s="23" t="str">
        <f>IF($G150="","",MEDIAN(참조데이터!$H$1,참조데이터!$H$2,$G150+3*IF($G150=참조데이터!$H$1,1,-1)))</f>
        <v/>
      </c>
      <c r="N150" s="20" t="str">
        <f>IFERROR(INDEX(참조데이터!$D$2:$D$6,MATCH($O150,참조데이터!$E$2:$E$6,0)),"")</f>
        <v/>
      </c>
      <c r="O150" s="22" t="str">
        <f>IF($G150="","",MEDIAN(참조데이터!$H$1,참조데이터!$H$2,$G150+4*IF($G150=참조데이터!$H$1,1,-1)))</f>
        <v/>
      </c>
      <c r="P150" s="17"/>
      <c r="Q150" s="20"/>
      <c r="R150" s="24"/>
      <c r="S150" s="35" t="str">
        <f>IF($D150="","",IF($D150=참조데이터!$A$3,"",IFERROR(IF(VLOOKUP($D150,참조데이터!$A$1:$C$3,3,FALSE)="",1,VLOOKUP($D150,참조데이터!$A$1:$C$3,3,FALSE)),1)))</f>
        <v/>
      </c>
      <c r="T150" s="36" t="str">
        <f>IF($D150="","",IFERROR(VLOOKUP($D150,참조데이터!$A$9:$B$11,2,FALSE),""))</f>
        <v/>
      </c>
      <c r="U150" s="17"/>
    </row>
    <row r="151" spans="1:21" ht="22.05" customHeight="1" x14ac:dyDescent="0.4">
      <c r="A151" s="44"/>
      <c r="B151" s="48"/>
      <c r="C151" s="14"/>
      <c r="D151" s="15"/>
      <c r="E151" s="16"/>
      <c r="F151" s="17" t="str">
        <f>IFERROR(INDEX(참조데이터!$D$2:$D$6,MATCH($G151,참조데이터!$E$2:$E$6,0)),"")</f>
        <v/>
      </c>
      <c r="G151" s="23" t="str">
        <f>IF($D151="척도형",참조데이터!$E$2,"")</f>
        <v/>
      </c>
      <c r="H151" s="19" t="str">
        <f>IFERROR(INDEX(참조데이터!$D$2:$D$6,MATCH($I151,참조데이터!$E$2:$E$6,0)),"")</f>
        <v/>
      </c>
      <c r="I151" s="23" t="str">
        <f>IF($G151="","",MEDIAN(참조데이터!$H$1,참조데이터!$H$2,$G151+1*IF($G151=참조데이터!$H$1,1,-1)))</f>
        <v/>
      </c>
      <c r="J151" s="19" t="str">
        <f>IFERROR(INDEX(참조데이터!$D$2:$D$6,MATCH($K151,참조데이터!$E$2:$E$6,0)),"")</f>
        <v/>
      </c>
      <c r="K151" s="23" t="str">
        <f>IF($G151="","",MEDIAN(참조데이터!$H$1,참조데이터!$H$2,$G151+2*IF($G151=참조데이터!$H$1,1,-1)))</f>
        <v/>
      </c>
      <c r="L151" s="19" t="str">
        <f>IFERROR(INDEX(참조데이터!$D$2:$D$6,MATCH($M151,참조데이터!$E$2:$E$6,0)),"")</f>
        <v/>
      </c>
      <c r="M151" s="23" t="str">
        <f>IF($G151="","",MEDIAN(참조데이터!$H$1,참조데이터!$H$2,$G151+3*IF($G151=참조데이터!$H$1,1,-1)))</f>
        <v/>
      </c>
      <c r="N151" s="20" t="str">
        <f>IFERROR(INDEX(참조데이터!$D$2:$D$6,MATCH($O151,참조데이터!$E$2:$E$6,0)),"")</f>
        <v/>
      </c>
      <c r="O151" s="22" t="str">
        <f>IF($G151="","",MEDIAN(참조데이터!$H$1,참조데이터!$H$2,$G151+4*IF($G151=참조데이터!$H$1,1,-1)))</f>
        <v/>
      </c>
      <c r="P151" s="17"/>
      <c r="Q151" s="20"/>
      <c r="R151" s="24"/>
      <c r="S151" s="35" t="str">
        <f>IF($D151="","",IF($D151=참조데이터!$A$3,"",IFERROR(IF(VLOOKUP($D151,참조데이터!$A$1:$C$3,3,FALSE)="",1,VLOOKUP($D151,참조데이터!$A$1:$C$3,3,FALSE)),1)))</f>
        <v/>
      </c>
      <c r="T151" s="36" t="str">
        <f>IF($D151="","",IFERROR(VLOOKUP($D151,참조데이터!$A$9:$B$11,2,FALSE),""))</f>
        <v/>
      </c>
      <c r="U151" s="17"/>
    </row>
    <row r="152" spans="1:21" ht="22.05" customHeight="1" x14ac:dyDescent="0.4">
      <c r="A152" s="44"/>
      <c r="B152" s="48"/>
      <c r="C152" s="14"/>
      <c r="D152" s="15"/>
      <c r="E152" s="16"/>
      <c r="F152" s="17" t="str">
        <f>IFERROR(INDEX(참조데이터!$D$2:$D$6,MATCH($G152,참조데이터!$E$2:$E$6,0)),"")</f>
        <v/>
      </c>
      <c r="G152" s="23" t="str">
        <f>IF($D152="척도형",참조데이터!$E$2,"")</f>
        <v/>
      </c>
      <c r="H152" s="19" t="str">
        <f>IFERROR(INDEX(참조데이터!$D$2:$D$6,MATCH($I152,참조데이터!$E$2:$E$6,0)),"")</f>
        <v/>
      </c>
      <c r="I152" s="23" t="str">
        <f>IF($G152="","",MEDIAN(참조데이터!$H$1,참조데이터!$H$2,$G152+1*IF($G152=참조데이터!$H$1,1,-1)))</f>
        <v/>
      </c>
      <c r="J152" s="19" t="str">
        <f>IFERROR(INDEX(참조데이터!$D$2:$D$6,MATCH($K152,참조데이터!$E$2:$E$6,0)),"")</f>
        <v/>
      </c>
      <c r="K152" s="23" t="str">
        <f>IF($G152="","",MEDIAN(참조데이터!$H$1,참조데이터!$H$2,$G152+2*IF($G152=참조데이터!$H$1,1,-1)))</f>
        <v/>
      </c>
      <c r="L152" s="19" t="str">
        <f>IFERROR(INDEX(참조데이터!$D$2:$D$6,MATCH($M152,참조데이터!$E$2:$E$6,0)),"")</f>
        <v/>
      </c>
      <c r="M152" s="23" t="str">
        <f>IF($G152="","",MEDIAN(참조데이터!$H$1,참조데이터!$H$2,$G152+3*IF($G152=참조데이터!$H$1,1,-1)))</f>
        <v/>
      </c>
      <c r="N152" s="20" t="str">
        <f>IFERROR(INDEX(참조데이터!$D$2:$D$6,MATCH($O152,참조데이터!$E$2:$E$6,0)),"")</f>
        <v/>
      </c>
      <c r="O152" s="22" t="str">
        <f>IF($G152="","",MEDIAN(참조데이터!$H$1,참조데이터!$H$2,$G152+4*IF($G152=참조데이터!$H$1,1,-1)))</f>
        <v/>
      </c>
      <c r="P152" s="17"/>
      <c r="Q152" s="20"/>
      <c r="R152" s="24"/>
      <c r="S152" s="35" t="str">
        <f>IF($D152="","",IF($D152=참조데이터!$A$3,"",IFERROR(IF(VLOOKUP($D152,참조데이터!$A$1:$C$3,3,FALSE)="",1,VLOOKUP($D152,참조데이터!$A$1:$C$3,3,FALSE)),1)))</f>
        <v/>
      </c>
      <c r="T152" s="36" t="str">
        <f>IF($D152="","",IFERROR(VLOOKUP($D152,참조데이터!$A$9:$B$11,2,FALSE),""))</f>
        <v/>
      </c>
      <c r="U152" s="17"/>
    </row>
    <row r="153" spans="1:21" ht="22.05" customHeight="1" x14ac:dyDescent="0.4">
      <c r="A153" s="44"/>
      <c r="B153" s="48"/>
      <c r="C153" s="14"/>
      <c r="D153" s="15"/>
      <c r="E153" s="16"/>
      <c r="F153" s="17" t="str">
        <f>IFERROR(INDEX(참조데이터!$D$2:$D$6,MATCH($G153,참조데이터!$E$2:$E$6,0)),"")</f>
        <v/>
      </c>
      <c r="G153" s="23" t="str">
        <f>IF($D153="척도형",참조데이터!$E$2,"")</f>
        <v/>
      </c>
      <c r="H153" s="19" t="str">
        <f>IFERROR(INDEX(참조데이터!$D$2:$D$6,MATCH($I153,참조데이터!$E$2:$E$6,0)),"")</f>
        <v/>
      </c>
      <c r="I153" s="23" t="str">
        <f>IF($G153="","",MEDIAN(참조데이터!$H$1,참조데이터!$H$2,$G153+1*IF($G153=참조데이터!$H$1,1,-1)))</f>
        <v/>
      </c>
      <c r="J153" s="19" t="str">
        <f>IFERROR(INDEX(참조데이터!$D$2:$D$6,MATCH($K153,참조데이터!$E$2:$E$6,0)),"")</f>
        <v/>
      </c>
      <c r="K153" s="23" t="str">
        <f>IF($G153="","",MEDIAN(참조데이터!$H$1,참조데이터!$H$2,$G153+2*IF($G153=참조데이터!$H$1,1,-1)))</f>
        <v/>
      </c>
      <c r="L153" s="19" t="str">
        <f>IFERROR(INDEX(참조데이터!$D$2:$D$6,MATCH($M153,참조데이터!$E$2:$E$6,0)),"")</f>
        <v/>
      </c>
      <c r="M153" s="23" t="str">
        <f>IF($G153="","",MEDIAN(참조데이터!$H$1,참조데이터!$H$2,$G153+3*IF($G153=참조데이터!$H$1,1,-1)))</f>
        <v/>
      </c>
      <c r="N153" s="20" t="str">
        <f>IFERROR(INDEX(참조데이터!$D$2:$D$6,MATCH($O153,참조데이터!$E$2:$E$6,0)),"")</f>
        <v/>
      </c>
      <c r="O153" s="22" t="str">
        <f>IF($G153="","",MEDIAN(참조데이터!$H$1,참조데이터!$H$2,$G153+4*IF($G153=참조데이터!$H$1,1,-1)))</f>
        <v/>
      </c>
      <c r="P153" s="17"/>
      <c r="Q153" s="20"/>
      <c r="R153" s="24"/>
      <c r="S153" s="35" t="str">
        <f>IF($D153="","",IF($D153=참조데이터!$A$3,"",IFERROR(IF(VLOOKUP($D153,참조데이터!$A$1:$C$3,3,FALSE)="",1,VLOOKUP($D153,참조데이터!$A$1:$C$3,3,FALSE)),1)))</f>
        <v/>
      </c>
      <c r="T153" s="36" t="str">
        <f>IF($D153="","",IFERROR(VLOOKUP($D153,참조데이터!$A$9:$B$11,2,FALSE),""))</f>
        <v/>
      </c>
      <c r="U153" s="17"/>
    </row>
    <row r="154" spans="1:21" ht="22.05" customHeight="1" x14ac:dyDescent="0.4">
      <c r="A154" s="44"/>
      <c r="B154" s="48"/>
      <c r="C154" s="14"/>
      <c r="D154" s="15"/>
      <c r="E154" s="16"/>
      <c r="F154" s="17" t="str">
        <f>IFERROR(INDEX(참조데이터!$D$2:$D$6,MATCH($G154,참조데이터!$E$2:$E$6,0)),"")</f>
        <v/>
      </c>
      <c r="G154" s="23" t="str">
        <f>IF($D154="척도형",참조데이터!$E$2,"")</f>
        <v/>
      </c>
      <c r="H154" s="19" t="str">
        <f>IFERROR(INDEX(참조데이터!$D$2:$D$6,MATCH($I154,참조데이터!$E$2:$E$6,0)),"")</f>
        <v/>
      </c>
      <c r="I154" s="23" t="str">
        <f>IF($G154="","",MEDIAN(참조데이터!$H$1,참조데이터!$H$2,$G154+1*IF($G154=참조데이터!$H$1,1,-1)))</f>
        <v/>
      </c>
      <c r="J154" s="19" t="str">
        <f>IFERROR(INDEX(참조데이터!$D$2:$D$6,MATCH($K154,참조데이터!$E$2:$E$6,0)),"")</f>
        <v/>
      </c>
      <c r="K154" s="23" t="str">
        <f>IF($G154="","",MEDIAN(참조데이터!$H$1,참조데이터!$H$2,$G154+2*IF($G154=참조데이터!$H$1,1,-1)))</f>
        <v/>
      </c>
      <c r="L154" s="19" t="str">
        <f>IFERROR(INDEX(참조데이터!$D$2:$D$6,MATCH($M154,참조데이터!$E$2:$E$6,0)),"")</f>
        <v/>
      </c>
      <c r="M154" s="23" t="str">
        <f>IF($G154="","",MEDIAN(참조데이터!$H$1,참조데이터!$H$2,$G154+3*IF($G154=참조데이터!$H$1,1,-1)))</f>
        <v/>
      </c>
      <c r="N154" s="20" t="str">
        <f>IFERROR(INDEX(참조데이터!$D$2:$D$6,MATCH($O154,참조데이터!$E$2:$E$6,0)),"")</f>
        <v/>
      </c>
      <c r="O154" s="22" t="str">
        <f>IF($G154="","",MEDIAN(참조데이터!$H$1,참조데이터!$H$2,$G154+4*IF($G154=참조데이터!$H$1,1,-1)))</f>
        <v/>
      </c>
      <c r="P154" s="17"/>
      <c r="Q154" s="20"/>
      <c r="R154" s="24"/>
      <c r="S154" s="35" t="str">
        <f>IF($D154="","",IF($D154=참조데이터!$A$3,"",IFERROR(IF(VLOOKUP($D154,참조데이터!$A$1:$C$3,3,FALSE)="",1,VLOOKUP($D154,참조데이터!$A$1:$C$3,3,FALSE)),1)))</f>
        <v/>
      </c>
      <c r="T154" s="36" t="str">
        <f>IF($D154="","",IFERROR(VLOOKUP($D154,참조데이터!$A$9:$B$11,2,FALSE),""))</f>
        <v/>
      </c>
      <c r="U154" s="17"/>
    </row>
    <row r="155" spans="1:21" ht="22.05" customHeight="1" x14ac:dyDescent="0.4">
      <c r="A155" s="44"/>
      <c r="B155" s="48"/>
      <c r="C155" s="14"/>
      <c r="D155" s="15"/>
      <c r="E155" s="16"/>
      <c r="F155" s="17" t="str">
        <f>IFERROR(INDEX(참조데이터!$D$2:$D$6,MATCH($G155,참조데이터!$E$2:$E$6,0)),"")</f>
        <v/>
      </c>
      <c r="G155" s="23" t="str">
        <f>IF($D155="척도형",참조데이터!$E$2,"")</f>
        <v/>
      </c>
      <c r="H155" s="19" t="str">
        <f>IFERROR(INDEX(참조데이터!$D$2:$D$6,MATCH($I155,참조데이터!$E$2:$E$6,0)),"")</f>
        <v/>
      </c>
      <c r="I155" s="23" t="str">
        <f>IF($G155="","",MEDIAN(참조데이터!$H$1,참조데이터!$H$2,$G155+1*IF($G155=참조데이터!$H$1,1,-1)))</f>
        <v/>
      </c>
      <c r="J155" s="19" t="str">
        <f>IFERROR(INDEX(참조데이터!$D$2:$D$6,MATCH($K155,참조데이터!$E$2:$E$6,0)),"")</f>
        <v/>
      </c>
      <c r="K155" s="23" t="str">
        <f>IF($G155="","",MEDIAN(참조데이터!$H$1,참조데이터!$H$2,$G155+2*IF($G155=참조데이터!$H$1,1,-1)))</f>
        <v/>
      </c>
      <c r="L155" s="19" t="str">
        <f>IFERROR(INDEX(참조데이터!$D$2:$D$6,MATCH($M155,참조데이터!$E$2:$E$6,0)),"")</f>
        <v/>
      </c>
      <c r="M155" s="23" t="str">
        <f>IF($G155="","",MEDIAN(참조데이터!$H$1,참조데이터!$H$2,$G155+3*IF($G155=참조데이터!$H$1,1,-1)))</f>
        <v/>
      </c>
      <c r="N155" s="20" t="str">
        <f>IFERROR(INDEX(참조데이터!$D$2:$D$6,MATCH($O155,참조데이터!$E$2:$E$6,0)),"")</f>
        <v/>
      </c>
      <c r="O155" s="22" t="str">
        <f>IF($G155="","",MEDIAN(참조데이터!$H$1,참조데이터!$H$2,$G155+4*IF($G155=참조데이터!$H$1,1,-1)))</f>
        <v/>
      </c>
      <c r="P155" s="17"/>
      <c r="Q155" s="20"/>
      <c r="R155" s="24"/>
      <c r="S155" s="35" t="str">
        <f>IF($D155="","",IF($D155=참조데이터!$A$3,"",IFERROR(IF(VLOOKUP($D155,참조데이터!$A$1:$C$3,3,FALSE)="",1,VLOOKUP($D155,참조데이터!$A$1:$C$3,3,FALSE)),1)))</f>
        <v/>
      </c>
      <c r="T155" s="36" t="str">
        <f>IF($D155="","",IFERROR(VLOOKUP($D155,참조데이터!$A$9:$B$11,2,FALSE),""))</f>
        <v/>
      </c>
      <c r="U155" s="17"/>
    </row>
    <row r="156" spans="1:21" ht="22.05" customHeight="1" x14ac:dyDescent="0.4">
      <c r="A156" s="44"/>
      <c r="B156" s="48"/>
      <c r="C156" s="14"/>
      <c r="D156" s="15"/>
      <c r="E156" s="16"/>
      <c r="F156" s="17" t="str">
        <f>IFERROR(INDEX(참조데이터!$D$2:$D$6,MATCH($G156,참조데이터!$E$2:$E$6,0)),"")</f>
        <v/>
      </c>
      <c r="G156" s="23" t="str">
        <f>IF($D156="척도형",참조데이터!$E$2,"")</f>
        <v/>
      </c>
      <c r="H156" s="19" t="str">
        <f>IFERROR(INDEX(참조데이터!$D$2:$D$6,MATCH($I156,참조데이터!$E$2:$E$6,0)),"")</f>
        <v/>
      </c>
      <c r="I156" s="23" t="str">
        <f>IF($G156="","",MEDIAN(참조데이터!$H$1,참조데이터!$H$2,$G156+1*IF($G156=참조데이터!$H$1,1,-1)))</f>
        <v/>
      </c>
      <c r="J156" s="19" t="str">
        <f>IFERROR(INDEX(참조데이터!$D$2:$D$6,MATCH($K156,참조데이터!$E$2:$E$6,0)),"")</f>
        <v/>
      </c>
      <c r="K156" s="23" t="str">
        <f>IF($G156="","",MEDIAN(참조데이터!$H$1,참조데이터!$H$2,$G156+2*IF($G156=참조데이터!$H$1,1,-1)))</f>
        <v/>
      </c>
      <c r="L156" s="19" t="str">
        <f>IFERROR(INDEX(참조데이터!$D$2:$D$6,MATCH($M156,참조데이터!$E$2:$E$6,0)),"")</f>
        <v/>
      </c>
      <c r="M156" s="23" t="str">
        <f>IF($G156="","",MEDIAN(참조데이터!$H$1,참조데이터!$H$2,$G156+3*IF($G156=참조데이터!$H$1,1,-1)))</f>
        <v/>
      </c>
      <c r="N156" s="20" t="str">
        <f>IFERROR(INDEX(참조데이터!$D$2:$D$6,MATCH($O156,참조데이터!$E$2:$E$6,0)),"")</f>
        <v/>
      </c>
      <c r="O156" s="22" t="str">
        <f>IF($G156="","",MEDIAN(참조데이터!$H$1,참조데이터!$H$2,$G156+4*IF($G156=참조데이터!$H$1,1,-1)))</f>
        <v/>
      </c>
      <c r="P156" s="17"/>
      <c r="Q156" s="20"/>
      <c r="R156" s="24"/>
      <c r="S156" s="35" t="str">
        <f>IF($D156="","",IF($D156=참조데이터!$A$3,"",IFERROR(IF(VLOOKUP($D156,참조데이터!$A$1:$C$3,3,FALSE)="",1,VLOOKUP($D156,참조데이터!$A$1:$C$3,3,FALSE)),1)))</f>
        <v/>
      </c>
      <c r="T156" s="36" t="str">
        <f>IF($D156="","",IFERROR(VLOOKUP($D156,참조데이터!$A$9:$B$11,2,FALSE),""))</f>
        <v/>
      </c>
      <c r="U156" s="17"/>
    </row>
    <row r="157" spans="1:21" ht="22.05" customHeight="1" x14ac:dyDescent="0.4">
      <c r="A157" s="44"/>
      <c r="B157" s="48"/>
      <c r="C157" s="14"/>
      <c r="D157" s="15"/>
      <c r="E157" s="16"/>
      <c r="F157" s="17" t="str">
        <f>IFERROR(INDEX(참조데이터!$D$2:$D$6,MATCH($G157,참조데이터!$E$2:$E$6,0)),"")</f>
        <v/>
      </c>
      <c r="G157" s="23" t="str">
        <f>IF($D157="척도형",참조데이터!$E$2,"")</f>
        <v/>
      </c>
      <c r="H157" s="19" t="str">
        <f>IFERROR(INDEX(참조데이터!$D$2:$D$6,MATCH($I157,참조데이터!$E$2:$E$6,0)),"")</f>
        <v/>
      </c>
      <c r="I157" s="23" t="str">
        <f>IF($G157="","",MEDIAN(참조데이터!$H$1,참조데이터!$H$2,$G157+1*IF($G157=참조데이터!$H$1,1,-1)))</f>
        <v/>
      </c>
      <c r="J157" s="19" t="str">
        <f>IFERROR(INDEX(참조데이터!$D$2:$D$6,MATCH($K157,참조데이터!$E$2:$E$6,0)),"")</f>
        <v/>
      </c>
      <c r="K157" s="23" t="str">
        <f>IF($G157="","",MEDIAN(참조데이터!$H$1,참조데이터!$H$2,$G157+2*IF($G157=참조데이터!$H$1,1,-1)))</f>
        <v/>
      </c>
      <c r="L157" s="19" t="str">
        <f>IFERROR(INDEX(참조데이터!$D$2:$D$6,MATCH($M157,참조데이터!$E$2:$E$6,0)),"")</f>
        <v/>
      </c>
      <c r="M157" s="23" t="str">
        <f>IF($G157="","",MEDIAN(참조데이터!$H$1,참조데이터!$H$2,$G157+3*IF($G157=참조데이터!$H$1,1,-1)))</f>
        <v/>
      </c>
      <c r="N157" s="20" t="str">
        <f>IFERROR(INDEX(참조데이터!$D$2:$D$6,MATCH($O157,참조데이터!$E$2:$E$6,0)),"")</f>
        <v/>
      </c>
      <c r="O157" s="22" t="str">
        <f>IF($G157="","",MEDIAN(참조데이터!$H$1,참조데이터!$H$2,$G157+4*IF($G157=참조데이터!$H$1,1,-1)))</f>
        <v/>
      </c>
      <c r="P157" s="17"/>
      <c r="Q157" s="20"/>
      <c r="R157" s="24"/>
      <c r="S157" s="35" t="str">
        <f>IF($D157="","",IF($D157=참조데이터!$A$3,"",IFERROR(IF(VLOOKUP($D157,참조데이터!$A$1:$C$3,3,FALSE)="",1,VLOOKUP($D157,참조데이터!$A$1:$C$3,3,FALSE)),1)))</f>
        <v/>
      </c>
      <c r="T157" s="36" t="str">
        <f>IF($D157="","",IFERROR(VLOOKUP($D157,참조데이터!$A$9:$B$11,2,FALSE),""))</f>
        <v/>
      </c>
      <c r="U157" s="17"/>
    </row>
    <row r="158" spans="1:21" ht="22.05" customHeight="1" x14ac:dyDescent="0.4">
      <c r="A158" s="44"/>
      <c r="B158" s="48"/>
      <c r="C158" s="14"/>
      <c r="D158" s="15"/>
      <c r="E158" s="16"/>
      <c r="F158" s="17" t="str">
        <f>IFERROR(INDEX(참조데이터!$D$2:$D$6,MATCH($G158,참조데이터!$E$2:$E$6,0)),"")</f>
        <v/>
      </c>
      <c r="G158" s="23" t="str">
        <f>IF($D158="척도형",참조데이터!$E$2,"")</f>
        <v/>
      </c>
      <c r="H158" s="19" t="str">
        <f>IFERROR(INDEX(참조데이터!$D$2:$D$6,MATCH($I158,참조데이터!$E$2:$E$6,0)),"")</f>
        <v/>
      </c>
      <c r="I158" s="23" t="str">
        <f>IF($G158="","",MEDIAN(참조데이터!$H$1,참조데이터!$H$2,$G158+1*IF($G158=참조데이터!$H$1,1,-1)))</f>
        <v/>
      </c>
      <c r="J158" s="19" t="str">
        <f>IFERROR(INDEX(참조데이터!$D$2:$D$6,MATCH($K158,참조데이터!$E$2:$E$6,0)),"")</f>
        <v/>
      </c>
      <c r="K158" s="23" t="str">
        <f>IF($G158="","",MEDIAN(참조데이터!$H$1,참조데이터!$H$2,$G158+2*IF($G158=참조데이터!$H$1,1,-1)))</f>
        <v/>
      </c>
      <c r="L158" s="19" t="str">
        <f>IFERROR(INDEX(참조데이터!$D$2:$D$6,MATCH($M158,참조데이터!$E$2:$E$6,0)),"")</f>
        <v/>
      </c>
      <c r="M158" s="23" t="str">
        <f>IF($G158="","",MEDIAN(참조데이터!$H$1,참조데이터!$H$2,$G158+3*IF($G158=참조데이터!$H$1,1,-1)))</f>
        <v/>
      </c>
      <c r="N158" s="20" t="str">
        <f>IFERROR(INDEX(참조데이터!$D$2:$D$6,MATCH($O158,참조데이터!$E$2:$E$6,0)),"")</f>
        <v/>
      </c>
      <c r="O158" s="22" t="str">
        <f>IF($G158="","",MEDIAN(참조데이터!$H$1,참조데이터!$H$2,$G158+4*IF($G158=참조데이터!$H$1,1,-1)))</f>
        <v/>
      </c>
      <c r="P158" s="17"/>
      <c r="Q158" s="20"/>
      <c r="R158" s="24"/>
      <c r="S158" s="35" t="str">
        <f>IF($D158="","",IF($D158=참조데이터!$A$3,"",IFERROR(IF(VLOOKUP($D158,참조데이터!$A$1:$C$3,3,FALSE)="",1,VLOOKUP($D158,참조데이터!$A$1:$C$3,3,FALSE)),1)))</f>
        <v/>
      </c>
      <c r="T158" s="36" t="str">
        <f>IF($D158="","",IFERROR(VLOOKUP($D158,참조데이터!$A$9:$B$11,2,FALSE),""))</f>
        <v/>
      </c>
      <c r="U158" s="17"/>
    </row>
    <row r="159" spans="1:21" ht="22.05" customHeight="1" x14ac:dyDescent="0.4">
      <c r="A159" s="44"/>
      <c r="B159" s="48"/>
      <c r="C159" s="14"/>
      <c r="D159" s="15"/>
      <c r="E159" s="16"/>
      <c r="F159" s="17" t="str">
        <f>IFERROR(INDEX(참조데이터!$D$2:$D$6,MATCH($G159,참조데이터!$E$2:$E$6,0)),"")</f>
        <v/>
      </c>
      <c r="G159" s="23" t="str">
        <f>IF($D159="척도형",참조데이터!$E$2,"")</f>
        <v/>
      </c>
      <c r="H159" s="19" t="str">
        <f>IFERROR(INDEX(참조데이터!$D$2:$D$6,MATCH($I159,참조데이터!$E$2:$E$6,0)),"")</f>
        <v/>
      </c>
      <c r="I159" s="23" t="str">
        <f>IF($G159="","",MEDIAN(참조데이터!$H$1,참조데이터!$H$2,$G159+1*IF($G159=참조데이터!$H$1,1,-1)))</f>
        <v/>
      </c>
      <c r="J159" s="19" t="str">
        <f>IFERROR(INDEX(참조데이터!$D$2:$D$6,MATCH($K159,참조데이터!$E$2:$E$6,0)),"")</f>
        <v/>
      </c>
      <c r="K159" s="23" t="str">
        <f>IF($G159="","",MEDIAN(참조데이터!$H$1,참조데이터!$H$2,$G159+2*IF($G159=참조데이터!$H$1,1,-1)))</f>
        <v/>
      </c>
      <c r="L159" s="19" t="str">
        <f>IFERROR(INDEX(참조데이터!$D$2:$D$6,MATCH($M159,참조데이터!$E$2:$E$6,0)),"")</f>
        <v/>
      </c>
      <c r="M159" s="23" t="str">
        <f>IF($G159="","",MEDIAN(참조데이터!$H$1,참조데이터!$H$2,$G159+3*IF($G159=참조데이터!$H$1,1,-1)))</f>
        <v/>
      </c>
      <c r="N159" s="20" t="str">
        <f>IFERROR(INDEX(참조데이터!$D$2:$D$6,MATCH($O159,참조데이터!$E$2:$E$6,0)),"")</f>
        <v/>
      </c>
      <c r="O159" s="22" t="str">
        <f>IF($G159="","",MEDIAN(참조데이터!$H$1,참조데이터!$H$2,$G159+4*IF($G159=참조데이터!$H$1,1,-1)))</f>
        <v/>
      </c>
      <c r="P159" s="17"/>
      <c r="Q159" s="20"/>
      <c r="R159" s="24"/>
      <c r="S159" s="35" t="str">
        <f>IF($D159="","",IF($D159=참조데이터!$A$3,"",IFERROR(IF(VLOOKUP($D159,참조데이터!$A$1:$C$3,3,FALSE)="",1,VLOOKUP($D159,참조데이터!$A$1:$C$3,3,FALSE)),1)))</f>
        <v/>
      </c>
      <c r="T159" s="36" t="str">
        <f>IF($D159="","",IFERROR(VLOOKUP($D159,참조데이터!$A$9:$B$11,2,FALSE),""))</f>
        <v/>
      </c>
      <c r="U159" s="17"/>
    </row>
    <row r="160" spans="1:21" ht="22.05" customHeight="1" x14ac:dyDescent="0.4">
      <c r="A160" s="44"/>
      <c r="B160" s="48"/>
      <c r="C160" s="14"/>
      <c r="D160" s="15"/>
      <c r="E160" s="16"/>
      <c r="F160" s="17" t="str">
        <f>IFERROR(INDEX(참조데이터!$D$2:$D$6,MATCH($G160,참조데이터!$E$2:$E$6,0)),"")</f>
        <v/>
      </c>
      <c r="G160" s="23" t="str">
        <f>IF($D160="척도형",참조데이터!$E$2,"")</f>
        <v/>
      </c>
      <c r="H160" s="19" t="str">
        <f>IFERROR(INDEX(참조데이터!$D$2:$D$6,MATCH($I160,참조데이터!$E$2:$E$6,0)),"")</f>
        <v/>
      </c>
      <c r="I160" s="23" t="str">
        <f>IF($G160="","",MEDIAN(참조데이터!$H$1,참조데이터!$H$2,$G160+1*IF($G160=참조데이터!$H$1,1,-1)))</f>
        <v/>
      </c>
      <c r="J160" s="19" t="str">
        <f>IFERROR(INDEX(참조데이터!$D$2:$D$6,MATCH($K160,참조데이터!$E$2:$E$6,0)),"")</f>
        <v/>
      </c>
      <c r="K160" s="23" t="str">
        <f>IF($G160="","",MEDIAN(참조데이터!$H$1,참조데이터!$H$2,$G160+2*IF($G160=참조데이터!$H$1,1,-1)))</f>
        <v/>
      </c>
      <c r="L160" s="19" t="str">
        <f>IFERROR(INDEX(참조데이터!$D$2:$D$6,MATCH($M160,참조데이터!$E$2:$E$6,0)),"")</f>
        <v/>
      </c>
      <c r="M160" s="23" t="str">
        <f>IF($G160="","",MEDIAN(참조데이터!$H$1,참조데이터!$H$2,$G160+3*IF($G160=참조데이터!$H$1,1,-1)))</f>
        <v/>
      </c>
      <c r="N160" s="20" t="str">
        <f>IFERROR(INDEX(참조데이터!$D$2:$D$6,MATCH($O160,참조데이터!$E$2:$E$6,0)),"")</f>
        <v/>
      </c>
      <c r="O160" s="22" t="str">
        <f>IF($G160="","",MEDIAN(참조데이터!$H$1,참조데이터!$H$2,$G160+4*IF($G160=참조데이터!$H$1,1,-1)))</f>
        <v/>
      </c>
      <c r="P160" s="17"/>
      <c r="Q160" s="20"/>
      <c r="R160" s="24"/>
      <c r="S160" s="35" t="str">
        <f>IF($D160="","",IF($D160=참조데이터!$A$3,"",IFERROR(IF(VLOOKUP($D160,참조데이터!$A$1:$C$3,3,FALSE)="",1,VLOOKUP($D160,참조데이터!$A$1:$C$3,3,FALSE)),1)))</f>
        <v/>
      </c>
      <c r="T160" s="36" t="str">
        <f>IF($D160="","",IFERROR(VLOOKUP($D160,참조데이터!$A$9:$B$11,2,FALSE),""))</f>
        <v/>
      </c>
      <c r="U160" s="17"/>
    </row>
    <row r="161" spans="1:21" ht="22.05" customHeight="1" x14ac:dyDescent="0.4">
      <c r="A161" s="44"/>
      <c r="B161" s="48"/>
      <c r="C161" s="14"/>
      <c r="D161" s="15"/>
      <c r="E161" s="16"/>
      <c r="F161" s="17" t="str">
        <f>IFERROR(INDEX(참조데이터!$D$2:$D$6,MATCH($G161,참조데이터!$E$2:$E$6,0)),"")</f>
        <v/>
      </c>
      <c r="G161" s="23" t="str">
        <f>IF($D161="척도형",참조데이터!$E$2,"")</f>
        <v/>
      </c>
      <c r="H161" s="19" t="str">
        <f>IFERROR(INDEX(참조데이터!$D$2:$D$6,MATCH($I161,참조데이터!$E$2:$E$6,0)),"")</f>
        <v/>
      </c>
      <c r="I161" s="23" t="str">
        <f>IF($G161="","",MEDIAN(참조데이터!$H$1,참조데이터!$H$2,$G161+1*IF($G161=참조데이터!$H$1,1,-1)))</f>
        <v/>
      </c>
      <c r="J161" s="19" t="str">
        <f>IFERROR(INDEX(참조데이터!$D$2:$D$6,MATCH($K161,참조데이터!$E$2:$E$6,0)),"")</f>
        <v/>
      </c>
      <c r="K161" s="23" t="str">
        <f>IF($G161="","",MEDIAN(참조데이터!$H$1,참조데이터!$H$2,$G161+2*IF($G161=참조데이터!$H$1,1,-1)))</f>
        <v/>
      </c>
      <c r="L161" s="19" t="str">
        <f>IFERROR(INDEX(참조데이터!$D$2:$D$6,MATCH($M161,참조데이터!$E$2:$E$6,0)),"")</f>
        <v/>
      </c>
      <c r="M161" s="23" t="str">
        <f>IF($G161="","",MEDIAN(참조데이터!$H$1,참조데이터!$H$2,$G161+3*IF($G161=참조데이터!$H$1,1,-1)))</f>
        <v/>
      </c>
      <c r="N161" s="20" t="str">
        <f>IFERROR(INDEX(참조데이터!$D$2:$D$6,MATCH($O161,참조데이터!$E$2:$E$6,0)),"")</f>
        <v/>
      </c>
      <c r="O161" s="22" t="str">
        <f>IF($G161="","",MEDIAN(참조데이터!$H$1,참조데이터!$H$2,$G161+4*IF($G161=참조데이터!$H$1,1,-1)))</f>
        <v/>
      </c>
      <c r="P161" s="17"/>
      <c r="Q161" s="20"/>
      <c r="R161" s="24"/>
      <c r="S161" s="35" t="str">
        <f>IF($D161="","",IF($D161=참조데이터!$A$3,"",IFERROR(IF(VLOOKUP($D161,참조데이터!$A$1:$C$3,3,FALSE)="",1,VLOOKUP($D161,참조데이터!$A$1:$C$3,3,FALSE)),1)))</f>
        <v/>
      </c>
      <c r="T161" s="36" t="str">
        <f>IF($D161="","",IFERROR(VLOOKUP($D161,참조데이터!$A$9:$B$11,2,FALSE),""))</f>
        <v/>
      </c>
      <c r="U161" s="17"/>
    </row>
    <row r="162" spans="1:21" ht="22.05" customHeight="1" x14ac:dyDescent="0.4">
      <c r="A162" s="44"/>
      <c r="B162" s="48"/>
      <c r="C162" s="14"/>
      <c r="D162" s="15"/>
      <c r="E162" s="16"/>
      <c r="F162" s="17" t="str">
        <f>IFERROR(INDEX(참조데이터!$D$2:$D$6,MATCH($G162,참조데이터!$E$2:$E$6,0)),"")</f>
        <v/>
      </c>
      <c r="G162" s="23" t="str">
        <f>IF($D162="척도형",참조데이터!$E$2,"")</f>
        <v/>
      </c>
      <c r="H162" s="19" t="str">
        <f>IFERROR(INDEX(참조데이터!$D$2:$D$6,MATCH($I162,참조데이터!$E$2:$E$6,0)),"")</f>
        <v/>
      </c>
      <c r="I162" s="23" t="str">
        <f>IF($G162="","",MEDIAN(참조데이터!$H$1,참조데이터!$H$2,$G162+1*IF($G162=참조데이터!$H$1,1,-1)))</f>
        <v/>
      </c>
      <c r="J162" s="19" t="str">
        <f>IFERROR(INDEX(참조데이터!$D$2:$D$6,MATCH($K162,참조데이터!$E$2:$E$6,0)),"")</f>
        <v/>
      </c>
      <c r="K162" s="23" t="str">
        <f>IF($G162="","",MEDIAN(참조데이터!$H$1,참조데이터!$H$2,$G162+2*IF($G162=참조데이터!$H$1,1,-1)))</f>
        <v/>
      </c>
      <c r="L162" s="19" t="str">
        <f>IFERROR(INDEX(참조데이터!$D$2:$D$6,MATCH($M162,참조데이터!$E$2:$E$6,0)),"")</f>
        <v/>
      </c>
      <c r="M162" s="23" t="str">
        <f>IF($G162="","",MEDIAN(참조데이터!$H$1,참조데이터!$H$2,$G162+3*IF($G162=참조데이터!$H$1,1,-1)))</f>
        <v/>
      </c>
      <c r="N162" s="20" t="str">
        <f>IFERROR(INDEX(참조데이터!$D$2:$D$6,MATCH($O162,참조데이터!$E$2:$E$6,0)),"")</f>
        <v/>
      </c>
      <c r="O162" s="22" t="str">
        <f>IF($G162="","",MEDIAN(참조데이터!$H$1,참조데이터!$H$2,$G162+4*IF($G162=참조데이터!$H$1,1,-1)))</f>
        <v/>
      </c>
      <c r="P162" s="17"/>
      <c r="Q162" s="20"/>
      <c r="R162" s="24"/>
      <c r="S162" s="35" t="str">
        <f>IF($D162="","",IF($D162=참조데이터!$A$3,"",IFERROR(IF(VLOOKUP($D162,참조데이터!$A$1:$C$3,3,FALSE)="",1,VLOOKUP($D162,참조데이터!$A$1:$C$3,3,FALSE)),1)))</f>
        <v/>
      </c>
      <c r="T162" s="36" t="str">
        <f>IF($D162="","",IFERROR(VLOOKUP($D162,참조데이터!$A$9:$B$11,2,FALSE),""))</f>
        <v/>
      </c>
      <c r="U162" s="17"/>
    </row>
    <row r="163" spans="1:21" ht="22.05" customHeight="1" x14ac:dyDescent="0.4">
      <c r="A163" s="44"/>
      <c r="B163" s="48"/>
      <c r="C163" s="14"/>
      <c r="D163" s="15"/>
      <c r="E163" s="16"/>
      <c r="F163" s="17" t="str">
        <f>IFERROR(INDEX(참조데이터!$D$2:$D$6,MATCH($G163,참조데이터!$E$2:$E$6,0)),"")</f>
        <v/>
      </c>
      <c r="G163" s="23" t="str">
        <f>IF($D163="척도형",참조데이터!$E$2,"")</f>
        <v/>
      </c>
      <c r="H163" s="19" t="str">
        <f>IFERROR(INDEX(참조데이터!$D$2:$D$6,MATCH($I163,참조데이터!$E$2:$E$6,0)),"")</f>
        <v/>
      </c>
      <c r="I163" s="23" t="str">
        <f>IF($G163="","",MEDIAN(참조데이터!$H$1,참조데이터!$H$2,$G163+1*IF($G163=참조데이터!$H$1,1,-1)))</f>
        <v/>
      </c>
      <c r="J163" s="19" t="str">
        <f>IFERROR(INDEX(참조데이터!$D$2:$D$6,MATCH($K163,참조데이터!$E$2:$E$6,0)),"")</f>
        <v/>
      </c>
      <c r="K163" s="23" t="str">
        <f>IF($G163="","",MEDIAN(참조데이터!$H$1,참조데이터!$H$2,$G163+2*IF($G163=참조데이터!$H$1,1,-1)))</f>
        <v/>
      </c>
      <c r="L163" s="19" t="str">
        <f>IFERROR(INDEX(참조데이터!$D$2:$D$6,MATCH($M163,참조데이터!$E$2:$E$6,0)),"")</f>
        <v/>
      </c>
      <c r="M163" s="23" t="str">
        <f>IF($G163="","",MEDIAN(참조데이터!$H$1,참조데이터!$H$2,$G163+3*IF($G163=참조데이터!$H$1,1,-1)))</f>
        <v/>
      </c>
      <c r="N163" s="20" t="str">
        <f>IFERROR(INDEX(참조데이터!$D$2:$D$6,MATCH($O163,참조데이터!$E$2:$E$6,0)),"")</f>
        <v/>
      </c>
      <c r="O163" s="22" t="str">
        <f>IF($G163="","",MEDIAN(참조데이터!$H$1,참조데이터!$H$2,$G163+4*IF($G163=참조데이터!$H$1,1,-1)))</f>
        <v/>
      </c>
      <c r="P163" s="17"/>
      <c r="Q163" s="20"/>
      <c r="R163" s="24"/>
      <c r="S163" s="35" t="str">
        <f>IF($D163="","",IF($D163=참조데이터!$A$3,"",IFERROR(IF(VLOOKUP($D163,참조데이터!$A$1:$C$3,3,FALSE)="",1,VLOOKUP($D163,참조데이터!$A$1:$C$3,3,FALSE)),1)))</f>
        <v/>
      </c>
      <c r="T163" s="36" t="str">
        <f>IF($D163="","",IFERROR(VLOOKUP($D163,참조데이터!$A$9:$B$11,2,FALSE),""))</f>
        <v/>
      </c>
      <c r="U163" s="17"/>
    </row>
    <row r="164" spans="1:21" ht="22.05" customHeight="1" x14ac:dyDescent="0.4">
      <c r="A164" s="44"/>
      <c r="B164" s="48"/>
      <c r="C164" s="14"/>
      <c r="D164" s="15"/>
      <c r="E164" s="16"/>
      <c r="F164" s="17" t="str">
        <f>IFERROR(INDEX(참조데이터!$D$2:$D$6,MATCH($G164,참조데이터!$E$2:$E$6,0)),"")</f>
        <v/>
      </c>
      <c r="G164" s="23" t="str">
        <f>IF($D164="척도형",참조데이터!$E$2,"")</f>
        <v/>
      </c>
      <c r="H164" s="19" t="str">
        <f>IFERROR(INDEX(참조데이터!$D$2:$D$6,MATCH($I164,참조데이터!$E$2:$E$6,0)),"")</f>
        <v/>
      </c>
      <c r="I164" s="23" t="str">
        <f>IF($G164="","",MEDIAN(참조데이터!$H$1,참조데이터!$H$2,$G164+1*IF($G164=참조데이터!$H$1,1,-1)))</f>
        <v/>
      </c>
      <c r="J164" s="19" t="str">
        <f>IFERROR(INDEX(참조데이터!$D$2:$D$6,MATCH($K164,참조데이터!$E$2:$E$6,0)),"")</f>
        <v/>
      </c>
      <c r="K164" s="23" t="str">
        <f>IF($G164="","",MEDIAN(참조데이터!$H$1,참조데이터!$H$2,$G164+2*IF($G164=참조데이터!$H$1,1,-1)))</f>
        <v/>
      </c>
      <c r="L164" s="19" t="str">
        <f>IFERROR(INDEX(참조데이터!$D$2:$D$6,MATCH($M164,참조데이터!$E$2:$E$6,0)),"")</f>
        <v/>
      </c>
      <c r="M164" s="23" t="str">
        <f>IF($G164="","",MEDIAN(참조데이터!$H$1,참조데이터!$H$2,$G164+3*IF($G164=참조데이터!$H$1,1,-1)))</f>
        <v/>
      </c>
      <c r="N164" s="20" t="str">
        <f>IFERROR(INDEX(참조데이터!$D$2:$D$6,MATCH($O164,참조데이터!$E$2:$E$6,0)),"")</f>
        <v/>
      </c>
      <c r="O164" s="22" t="str">
        <f>IF($G164="","",MEDIAN(참조데이터!$H$1,참조데이터!$H$2,$G164+4*IF($G164=참조데이터!$H$1,1,-1)))</f>
        <v/>
      </c>
      <c r="P164" s="17"/>
      <c r="Q164" s="20"/>
      <c r="R164" s="24"/>
      <c r="S164" s="35" t="str">
        <f>IF($D164="","",IF($D164=참조데이터!$A$3,"",IFERROR(IF(VLOOKUP($D164,참조데이터!$A$1:$C$3,3,FALSE)="",1,VLOOKUP($D164,참조데이터!$A$1:$C$3,3,FALSE)),1)))</f>
        <v/>
      </c>
      <c r="T164" s="36" t="str">
        <f>IF($D164="","",IFERROR(VLOOKUP($D164,참조데이터!$A$9:$B$11,2,FALSE),""))</f>
        <v/>
      </c>
      <c r="U164" s="17"/>
    </row>
    <row r="165" spans="1:21" ht="22.05" customHeight="1" x14ac:dyDescent="0.4">
      <c r="A165" s="44"/>
      <c r="B165" s="48"/>
      <c r="C165" s="14"/>
      <c r="D165" s="15"/>
      <c r="E165" s="16"/>
      <c r="F165" s="17" t="str">
        <f>IFERROR(INDEX(참조데이터!$D$2:$D$6,MATCH($G165,참조데이터!$E$2:$E$6,0)),"")</f>
        <v/>
      </c>
      <c r="G165" s="23" t="str">
        <f>IF($D165="척도형",참조데이터!$E$2,"")</f>
        <v/>
      </c>
      <c r="H165" s="19" t="str">
        <f>IFERROR(INDEX(참조데이터!$D$2:$D$6,MATCH($I165,참조데이터!$E$2:$E$6,0)),"")</f>
        <v/>
      </c>
      <c r="I165" s="23" t="str">
        <f>IF($G165="","",MEDIAN(참조데이터!$H$1,참조데이터!$H$2,$G165+1*IF($G165=참조데이터!$H$1,1,-1)))</f>
        <v/>
      </c>
      <c r="J165" s="19" t="str">
        <f>IFERROR(INDEX(참조데이터!$D$2:$D$6,MATCH($K165,참조데이터!$E$2:$E$6,0)),"")</f>
        <v/>
      </c>
      <c r="K165" s="23" t="str">
        <f>IF($G165="","",MEDIAN(참조데이터!$H$1,참조데이터!$H$2,$G165+2*IF($G165=참조데이터!$H$1,1,-1)))</f>
        <v/>
      </c>
      <c r="L165" s="19" t="str">
        <f>IFERROR(INDEX(참조데이터!$D$2:$D$6,MATCH($M165,참조데이터!$E$2:$E$6,0)),"")</f>
        <v/>
      </c>
      <c r="M165" s="23" t="str">
        <f>IF($G165="","",MEDIAN(참조데이터!$H$1,참조데이터!$H$2,$G165+3*IF($G165=참조데이터!$H$1,1,-1)))</f>
        <v/>
      </c>
      <c r="N165" s="20" t="str">
        <f>IFERROR(INDEX(참조데이터!$D$2:$D$6,MATCH($O165,참조데이터!$E$2:$E$6,0)),"")</f>
        <v/>
      </c>
      <c r="O165" s="22" t="str">
        <f>IF($G165="","",MEDIAN(참조데이터!$H$1,참조데이터!$H$2,$G165+4*IF($G165=참조데이터!$H$1,1,-1)))</f>
        <v/>
      </c>
      <c r="P165" s="17"/>
      <c r="Q165" s="20"/>
      <c r="R165" s="24"/>
      <c r="S165" s="35" t="str">
        <f>IF($D165="","",IF($D165=참조데이터!$A$3,"",IFERROR(IF(VLOOKUP($D165,참조데이터!$A$1:$C$3,3,FALSE)="",1,VLOOKUP($D165,참조데이터!$A$1:$C$3,3,FALSE)),1)))</f>
        <v/>
      </c>
      <c r="T165" s="36" t="str">
        <f>IF($D165="","",IFERROR(VLOOKUP($D165,참조데이터!$A$9:$B$11,2,FALSE),""))</f>
        <v/>
      </c>
      <c r="U165" s="17"/>
    </row>
    <row r="166" spans="1:21" ht="22.05" customHeight="1" x14ac:dyDescent="0.4">
      <c r="A166" s="44"/>
      <c r="B166" s="48"/>
      <c r="C166" s="14"/>
      <c r="D166" s="15"/>
      <c r="E166" s="16"/>
      <c r="F166" s="17" t="str">
        <f>IFERROR(INDEX(참조데이터!$D$2:$D$6,MATCH($G166,참조데이터!$E$2:$E$6,0)),"")</f>
        <v/>
      </c>
      <c r="G166" s="23" t="str">
        <f>IF($D166="척도형",참조데이터!$E$2,"")</f>
        <v/>
      </c>
      <c r="H166" s="19" t="str">
        <f>IFERROR(INDEX(참조데이터!$D$2:$D$6,MATCH($I166,참조데이터!$E$2:$E$6,0)),"")</f>
        <v/>
      </c>
      <c r="I166" s="23" t="str">
        <f>IF($G166="","",MEDIAN(참조데이터!$H$1,참조데이터!$H$2,$G166+1*IF($G166=참조데이터!$H$1,1,-1)))</f>
        <v/>
      </c>
      <c r="J166" s="19" t="str">
        <f>IFERROR(INDEX(참조데이터!$D$2:$D$6,MATCH($K166,참조데이터!$E$2:$E$6,0)),"")</f>
        <v/>
      </c>
      <c r="K166" s="23" t="str">
        <f>IF($G166="","",MEDIAN(참조데이터!$H$1,참조데이터!$H$2,$G166+2*IF($G166=참조데이터!$H$1,1,-1)))</f>
        <v/>
      </c>
      <c r="L166" s="19" t="str">
        <f>IFERROR(INDEX(참조데이터!$D$2:$D$6,MATCH($M166,참조데이터!$E$2:$E$6,0)),"")</f>
        <v/>
      </c>
      <c r="M166" s="23" t="str">
        <f>IF($G166="","",MEDIAN(참조데이터!$H$1,참조데이터!$H$2,$G166+3*IF($G166=참조데이터!$H$1,1,-1)))</f>
        <v/>
      </c>
      <c r="N166" s="20" t="str">
        <f>IFERROR(INDEX(참조데이터!$D$2:$D$6,MATCH($O166,참조데이터!$E$2:$E$6,0)),"")</f>
        <v/>
      </c>
      <c r="O166" s="22" t="str">
        <f>IF($G166="","",MEDIAN(참조데이터!$H$1,참조데이터!$H$2,$G166+4*IF($G166=참조데이터!$H$1,1,-1)))</f>
        <v/>
      </c>
      <c r="P166" s="17"/>
      <c r="Q166" s="20"/>
      <c r="R166" s="24"/>
      <c r="S166" s="35" t="str">
        <f>IF($D166="","",IF($D166=참조데이터!$A$3,"",IFERROR(IF(VLOOKUP($D166,참조데이터!$A$1:$C$3,3,FALSE)="",1,VLOOKUP($D166,참조데이터!$A$1:$C$3,3,FALSE)),1)))</f>
        <v/>
      </c>
      <c r="T166" s="36" t="str">
        <f>IF($D166="","",IFERROR(VLOOKUP($D166,참조데이터!$A$9:$B$11,2,FALSE),""))</f>
        <v/>
      </c>
      <c r="U166" s="17"/>
    </row>
    <row r="167" spans="1:21" ht="22.05" customHeight="1" x14ac:dyDescent="0.4">
      <c r="A167" s="44"/>
      <c r="B167" s="48"/>
      <c r="C167" s="14"/>
      <c r="D167" s="15"/>
      <c r="E167" s="16"/>
      <c r="F167" s="17" t="str">
        <f>IFERROR(INDEX(참조데이터!$D$2:$D$6,MATCH($G167,참조데이터!$E$2:$E$6,0)),"")</f>
        <v/>
      </c>
      <c r="G167" s="23" t="str">
        <f>IF($D167="척도형",참조데이터!$E$2,"")</f>
        <v/>
      </c>
      <c r="H167" s="19" t="str">
        <f>IFERROR(INDEX(참조데이터!$D$2:$D$6,MATCH($I167,참조데이터!$E$2:$E$6,0)),"")</f>
        <v/>
      </c>
      <c r="I167" s="23" t="str">
        <f>IF($G167="","",MEDIAN(참조데이터!$H$1,참조데이터!$H$2,$G167+1*IF($G167=참조데이터!$H$1,1,-1)))</f>
        <v/>
      </c>
      <c r="J167" s="19" t="str">
        <f>IFERROR(INDEX(참조데이터!$D$2:$D$6,MATCH($K167,참조데이터!$E$2:$E$6,0)),"")</f>
        <v/>
      </c>
      <c r="K167" s="23" t="str">
        <f>IF($G167="","",MEDIAN(참조데이터!$H$1,참조데이터!$H$2,$G167+2*IF($G167=참조데이터!$H$1,1,-1)))</f>
        <v/>
      </c>
      <c r="L167" s="19" t="str">
        <f>IFERROR(INDEX(참조데이터!$D$2:$D$6,MATCH($M167,참조데이터!$E$2:$E$6,0)),"")</f>
        <v/>
      </c>
      <c r="M167" s="23" t="str">
        <f>IF($G167="","",MEDIAN(참조데이터!$H$1,참조데이터!$H$2,$G167+3*IF($G167=참조데이터!$H$1,1,-1)))</f>
        <v/>
      </c>
      <c r="N167" s="20" t="str">
        <f>IFERROR(INDEX(참조데이터!$D$2:$D$6,MATCH($O167,참조데이터!$E$2:$E$6,0)),"")</f>
        <v/>
      </c>
      <c r="O167" s="22" t="str">
        <f>IF($G167="","",MEDIAN(참조데이터!$H$1,참조데이터!$H$2,$G167+4*IF($G167=참조데이터!$H$1,1,-1)))</f>
        <v/>
      </c>
      <c r="P167" s="17"/>
      <c r="Q167" s="20"/>
      <c r="R167" s="24"/>
      <c r="S167" s="35" t="str">
        <f>IF($D167="","",IF($D167=참조데이터!$A$3,"",IFERROR(IF(VLOOKUP($D167,참조데이터!$A$1:$C$3,3,FALSE)="",1,VLOOKUP($D167,참조데이터!$A$1:$C$3,3,FALSE)),1)))</f>
        <v/>
      </c>
      <c r="T167" s="36" t="str">
        <f>IF($D167="","",IFERROR(VLOOKUP($D167,참조데이터!$A$9:$B$11,2,FALSE),""))</f>
        <v/>
      </c>
      <c r="U167" s="17"/>
    </row>
    <row r="168" spans="1:21" ht="22.05" customHeight="1" x14ac:dyDescent="0.4">
      <c r="A168" s="44"/>
      <c r="B168" s="48"/>
      <c r="C168" s="14"/>
      <c r="D168" s="15"/>
      <c r="E168" s="16"/>
      <c r="F168" s="17" t="str">
        <f>IFERROR(INDEX(참조데이터!$D$2:$D$6,MATCH($G168,참조데이터!$E$2:$E$6,0)),"")</f>
        <v/>
      </c>
      <c r="G168" s="23" t="str">
        <f>IF($D168="척도형",참조데이터!$E$2,"")</f>
        <v/>
      </c>
      <c r="H168" s="19" t="str">
        <f>IFERROR(INDEX(참조데이터!$D$2:$D$6,MATCH($I168,참조데이터!$E$2:$E$6,0)),"")</f>
        <v/>
      </c>
      <c r="I168" s="23" t="str">
        <f>IF($G168="","",MEDIAN(참조데이터!$H$1,참조데이터!$H$2,$G168+1*IF($G168=참조데이터!$H$1,1,-1)))</f>
        <v/>
      </c>
      <c r="J168" s="19" t="str">
        <f>IFERROR(INDEX(참조데이터!$D$2:$D$6,MATCH($K168,참조데이터!$E$2:$E$6,0)),"")</f>
        <v/>
      </c>
      <c r="K168" s="23" t="str">
        <f>IF($G168="","",MEDIAN(참조데이터!$H$1,참조데이터!$H$2,$G168+2*IF($G168=참조데이터!$H$1,1,-1)))</f>
        <v/>
      </c>
      <c r="L168" s="19" t="str">
        <f>IFERROR(INDEX(참조데이터!$D$2:$D$6,MATCH($M168,참조데이터!$E$2:$E$6,0)),"")</f>
        <v/>
      </c>
      <c r="M168" s="23" t="str">
        <f>IF($G168="","",MEDIAN(참조데이터!$H$1,참조데이터!$H$2,$G168+3*IF($G168=참조데이터!$H$1,1,-1)))</f>
        <v/>
      </c>
      <c r="N168" s="20" t="str">
        <f>IFERROR(INDEX(참조데이터!$D$2:$D$6,MATCH($O168,참조데이터!$E$2:$E$6,0)),"")</f>
        <v/>
      </c>
      <c r="O168" s="22" t="str">
        <f>IF($G168="","",MEDIAN(참조데이터!$H$1,참조데이터!$H$2,$G168+4*IF($G168=참조데이터!$H$1,1,-1)))</f>
        <v/>
      </c>
      <c r="P168" s="17"/>
      <c r="Q168" s="20"/>
      <c r="R168" s="24"/>
      <c r="S168" s="35" t="str">
        <f>IF($D168="","",IF($D168=참조데이터!$A$3,"",IFERROR(IF(VLOOKUP($D168,참조데이터!$A$1:$C$3,3,FALSE)="",1,VLOOKUP($D168,참조데이터!$A$1:$C$3,3,FALSE)),1)))</f>
        <v/>
      </c>
      <c r="T168" s="36" t="str">
        <f>IF($D168="","",IFERROR(VLOOKUP($D168,참조데이터!$A$9:$B$11,2,FALSE),""))</f>
        <v/>
      </c>
      <c r="U168" s="17"/>
    </row>
    <row r="169" spans="1:21" ht="22.05" customHeight="1" x14ac:dyDescent="0.4">
      <c r="A169" s="44"/>
      <c r="B169" s="48"/>
      <c r="C169" s="14"/>
      <c r="D169" s="15"/>
      <c r="E169" s="16"/>
      <c r="F169" s="17" t="str">
        <f>IFERROR(INDEX(참조데이터!$D$2:$D$6,MATCH($G169,참조데이터!$E$2:$E$6,0)),"")</f>
        <v/>
      </c>
      <c r="G169" s="23" t="str">
        <f>IF($D169="척도형",참조데이터!$E$2,"")</f>
        <v/>
      </c>
      <c r="H169" s="19" t="str">
        <f>IFERROR(INDEX(참조데이터!$D$2:$D$6,MATCH($I169,참조데이터!$E$2:$E$6,0)),"")</f>
        <v/>
      </c>
      <c r="I169" s="23" t="str">
        <f>IF($G169="","",MEDIAN(참조데이터!$H$1,참조데이터!$H$2,$G169+1*IF($G169=참조데이터!$H$1,1,-1)))</f>
        <v/>
      </c>
      <c r="J169" s="19" t="str">
        <f>IFERROR(INDEX(참조데이터!$D$2:$D$6,MATCH($K169,참조데이터!$E$2:$E$6,0)),"")</f>
        <v/>
      </c>
      <c r="K169" s="23" t="str">
        <f>IF($G169="","",MEDIAN(참조데이터!$H$1,참조데이터!$H$2,$G169+2*IF($G169=참조데이터!$H$1,1,-1)))</f>
        <v/>
      </c>
      <c r="L169" s="19" t="str">
        <f>IFERROR(INDEX(참조데이터!$D$2:$D$6,MATCH($M169,참조데이터!$E$2:$E$6,0)),"")</f>
        <v/>
      </c>
      <c r="M169" s="23" t="str">
        <f>IF($G169="","",MEDIAN(참조데이터!$H$1,참조데이터!$H$2,$G169+3*IF($G169=참조데이터!$H$1,1,-1)))</f>
        <v/>
      </c>
      <c r="N169" s="20" t="str">
        <f>IFERROR(INDEX(참조데이터!$D$2:$D$6,MATCH($O169,참조데이터!$E$2:$E$6,0)),"")</f>
        <v/>
      </c>
      <c r="O169" s="22" t="str">
        <f>IF($G169="","",MEDIAN(참조데이터!$H$1,참조데이터!$H$2,$G169+4*IF($G169=참조데이터!$H$1,1,-1)))</f>
        <v/>
      </c>
      <c r="P169" s="17"/>
      <c r="Q169" s="20"/>
      <c r="R169" s="24"/>
      <c r="S169" s="35" t="str">
        <f>IF($D169="","",IF($D169=참조데이터!$A$3,"",IFERROR(IF(VLOOKUP($D169,참조데이터!$A$1:$C$3,3,FALSE)="",1,VLOOKUP($D169,참조데이터!$A$1:$C$3,3,FALSE)),1)))</f>
        <v/>
      </c>
      <c r="T169" s="36" t="str">
        <f>IF($D169="","",IFERROR(VLOOKUP($D169,참조데이터!$A$9:$B$11,2,FALSE),""))</f>
        <v/>
      </c>
      <c r="U169" s="17"/>
    </row>
    <row r="170" spans="1:21" ht="22.05" customHeight="1" x14ac:dyDescent="0.4">
      <c r="A170" s="44"/>
      <c r="B170" s="48"/>
      <c r="C170" s="14"/>
      <c r="D170" s="15"/>
      <c r="E170" s="16"/>
      <c r="F170" s="17" t="str">
        <f>IFERROR(INDEX(참조데이터!$D$2:$D$6,MATCH($G170,참조데이터!$E$2:$E$6,0)),"")</f>
        <v/>
      </c>
      <c r="G170" s="23" t="str">
        <f>IF($D170="척도형",참조데이터!$E$2,"")</f>
        <v/>
      </c>
      <c r="H170" s="19" t="str">
        <f>IFERROR(INDEX(참조데이터!$D$2:$D$6,MATCH($I170,참조데이터!$E$2:$E$6,0)),"")</f>
        <v/>
      </c>
      <c r="I170" s="23" t="str">
        <f>IF($G170="","",MEDIAN(참조데이터!$H$1,참조데이터!$H$2,$G170+1*IF($G170=참조데이터!$H$1,1,-1)))</f>
        <v/>
      </c>
      <c r="J170" s="19" t="str">
        <f>IFERROR(INDEX(참조데이터!$D$2:$D$6,MATCH($K170,참조데이터!$E$2:$E$6,0)),"")</f>
        <v/>
      </c>
      <c r="K170" s="23" t="str">
        <f>IF($G170="","",MEDIAN(참조데이터!$H$1,참조데이터!$H$2,$G170+2*IF($G170=참조데이터!$H$1,1,-1)))</f>
        <v/>
      </c>
      <c r="L170" s="19" t="str">
        <f>IFERROR(INDEX(참조데이터!$D$2:$D$6,MATCH($M170,참조데이터!$E$2:$E$6,0)),"")</f>
        <v/>
      </c>
      <c r="M170" s="23" t="str">
        <f>IF($G170="","",MEDIAN(참조데이터!$H$1,참조데이터!$H$2,$G170+3*IF($G170=참조데이터!$H$1,1,-1)))</f>
        <v/>
      </c>
      <c r="N170" s="20" t="str">
        <f>IFERROR(INDEX(참조데이터!$D$2:$D$6,MATCH($O170,참조데이터!$E$2:$E$6,0)),"")</f>
        <v/>
      </c>
      <c r="O170" s="22" t="str">
        <f>IF($G170="","",MEDIAN(참조데이터!$H$1,참조데이터!$H$2,$G170+4*IF($G170=참조데이터!$H$1,1,-1)))</f>
        <v/>
      </c>
      <c r="P170" s="17"/>
      <c r="Q170" s="20"/>
      <c r="R170" s="24"/>
      <c r="S170" s="35" t="str">
        <f>IF($D170="","",IF($D170=참조데이터!$A$3,"",IFERROR(IF(VLOOKUP($D170,참조데이터!$A$1:$C$3,3,FALSE)="",1,VLOOKUP($D170,참조데이터!$A$1:$C$3,3,FALSE)),1)))</f>
        <v/>
      </c>
      <c r="T170" s="36" t="str">
        <f>IF($D170="","",IFERROR(VLOOKUP($D170,참조데이터!$A$9:$B$11,2,FALSE),""))</f>
        <v/>
      </c>
      <c r="U170" s="17"/>
    </row>
    <row r="171" spans="1:21" ht="22.05" customHeight="1" x14ac:dyDescent="0.4">
      <c r="A171" s="44"/>
      <c r="B171" s="48"/>
      <c r="C171" s="14"/>
      <c r="D171" s="15"/>
      <c r="E171" s="16"/>
      <c r="F171" s="17" t="str">
        <f>IFERROR(INDEX(참조데이터!$D$2:$D$6,MATCH($G171,참조데이터!$E$2:$E$6,0)),"")</f>
        <v/>
      </c>
      <c r="G171" s="23" t="str">
        <f>IF($D171="척도형",참조데이터!$E$2,"")</f>
        <v/>
      </c>
      <c r="H171" s="19" t="str">
        <f>IFERROR(INDEX(참조데이터!$D$2:$D$6,MATCH($I171,참조데이터!$E$2:$E$6,0)),"")</f>
        <v/>
      </c>
      <c r="I171" s="23" t="str">
        <f>IF($G171="","",MEDIAN(참조데이터!$H$1,참조데이터!$H$2,$G171+1*IF($G171=참조데이터!$H$1,1,-1)))</f>
        <v/>
      </c>
      <c r="J171" s="19" t="str">
        <f>IFERROR(INDEX(참조데이터!$D$2:$D$6,MATCH($K171,참조데이터!$E$2:$E$6,0)),"")</f>
        <v/>
      </c>
      <c r="K171" s="23" t="str">
        <f>IF($G171="","",MEDIAN(참조데이터!$H$1,참조데이터!$H$2,$G171+2*IF($G171=참조데이터!$H$1,1,-1)))</f>
        <v/>
      </c>
      <c r="L171" s="19" t="str">
        <f>IFERROR(INDEX(참조데이터!$D$2:$D$6,MATCH($M171,참조데이터!$E$2:$E$6,0)),"")</f>
        <v/>
      </c>
      <c r="M171" s="23" t="str">
        <f>IF($G171="","",MEDIAN(참조데이터!$H$1,참조데이터!$H$2,$G171+3*IF($G171=참조데이터!$H$1,1,-1)))</f>
        <v/>
      </c>
      <c r="N171" s="20" t="str">
        <f>IFERROR(INDEX(참조데이터!$D$2:$D$6,MATCH($O171,참조데이터!$E$2:$E$6,0)),"")</f>
        <v/>
      </c>
      <c r="O171" s="22" t="str">
        <f>IF($G171="","",MEDIAN(참조데이터!$H$1,참조데이터!$H$2,$G171+4*IF($G171=참조데이터!$H$1,1,-1)))</f>
        <v/>
      </c>
      <c r="P171" s="17"/>
      <c r="Q171" s="20"/>
      <c r="R171" s="24"/>
      <c r="S171" s="35" t="str">
        <f>IF($D171="","",IF($D171=참조데이터!$A$3,"",IFERROR(IF(VLOOKUP($D171,참조데이터!$A$1:$C$3,3,FALSE)="",1,VLOOKUP($D171,참조데이터!$A$1:$C$3,3,FALSE)),1)))</f>
        <v/>
      </c>
      <c r="T171" s="36" t="str">
        <f>IF($D171="","",IFERROR(VLOOKUP($D171,참조데이터!$A$9:$B$11,2,FALSE),""))</f>
        <v/>
      </c>
      <c r="U171" s="17"/>
    </row>
    <row r="172" spans="1:21" ht="22.05" customHeight="1" x14ac:dyDescent="0.4">
      <c r="A172" s="44"/>
      <c r="B172" s="48"/>
      <c r="C172" s="14"/>
      <c r="D172" s="15"/>
      <c r="E172" s="16"/>
      <c r="F172" s="17" t="str">
        <f>IFERROR(INDEX(참조데이터!$D$2:$D$6,MATCH($G172,참조데이터!$E$2:$E$6,0)),"")</f>
        <v/>
      </c>
      <c r="G172" s="23" t="str">
        <f>IF($D172="척도형",참조데이터!$E$2,"")</f>
        <v/>
      </c>
      <c r="H172" s="19" t="str">
        <f>IFERROR(INDEX(참조데이터!$D$2:$D$6,MATCH($I172,참조데이터!$E$2:$E$6,0)),"")</f>
        <v/>
      </c>
      <c r="I172" s="23" t="str">
        <f>IF($G172="","",MEDIAN(참조데이터!$H$1,참조데이터!$H$2,$G172+1*IF($G172=참조데이터!$H$1,1,-1)))</f>
        <v/>
      </c>
      <c r="J172" s="19" t="str">
        <f>IFERROR(INDEX(참조데이터!$D$2:$D$6,MATCH($K172,참조데이터!$E$2:$E$6,0)),"")</f>
        <v/>
      </c>
      <c r="K172" s="23" t="str">
        <f>IF($G172="","",MEDIAN(참조데이터!$H$1,참조데이터!$H$2,$G172+2*IF($G172=참조데이터!$H$1,1,-1)))</f>
        <v/>
      </c>
      <c r="L172" s="19" t="str">
        <f>IFERROR(INDEX(참조데이터!$D$2:$D$6,MATCH($M172,참조데이터!$E$2:$E$6,0)),"")</f>
        <v/>
      </c>
      <c r="M172" s="23" t="str">
        <f>IF($G172="","",MEDIAN(참조데이터!$H$1,참조데이터!$H$2,$G172+3*IF($G172=참조데이터!$H$1,1,-1)))</f>
        <v/>
      </c>
      <c r="N172" s="20" t="str">
        <f>IFERROR(INDEX(참조데이터!$D$2:$D$6,MATCH($O172,참조데이터!$E$2:$E$6,0)),"")</f>
        <v/>
      </c>
      <c r="O172" s="22" t="str">
        <f>IF($G172="","",MEDIAN(참조데이터!$H$1,참조데이터!$H$2,$G172+4*IF($G172=참조데이터!$H$1,1,-1)))</f>
        <v/>
      </c>
      <c r="P172" s="17"/>
      <c r="Q172" s="20"/>
      <c r="R172" s="24"/>
      <c r="S172" s="35" t="str">
        <f>IF($D172="","",IF($D172=참조데이터!$A$3,"",IFERROR(IF(VLOOKUP($D172,참조데이터!$A$1:$C$3,3,FALSE)="",1,VLOOKUP($D172,참조데이터!$A$1:$C$3,3,FALSE)),1)))</f>
        <v/>
      </c>
      <c r="T172" s="36" t="str">
        <f>IF($D172="","",IFERROR(VLOOKUP($D172,참조데이터!$A$9:$B$11,2,FALSE),""))</f>
        <v/>
      </c>
      <c r="U172" s="17"/>
    </row>
    <row r="173" spans="1:21" ht="22.05" customHeight="1" x14ac:dyDescent="0.4">
      <c r="A173" s="44"/>
      <c r="B173" s="48"/>
      <c r="C173" s="14"/>
      <c r="D173" s="15"/>
      <c r="E173" s="16"/>
      <c r="F173" s="17" t="str">
        <f>IFERROR(INDEX(참조데이터!$D$2:$D$6,MATCH($G173,참조데이터!$E$2:$E$6,0)),"")</f>
        <v/>
      </c>
      <c r="G173" s="23" t="str">
        <f>IF($D173="척도형",참조데이터!$E$2,"")</f>
        <v/>
      </c>
      <c r="H173" s="19" t="str">
        <f>IFERROR(INDEX(참조데이터!$D$2:$D$6,MATCH($I173,참조데이터!$E$2:$E$6,0)),"")</f>
        <v/>
      </c>
      <c r="I173" s="23" t="str">
        <f>IF($G173="","",MEDIAN(참조데이터!$H$1,참조데이터!$H$2,$G173+1*IF($G173=참조데이터!$H$1,1,-1)))</f>
        <v/>
      </c>
      <c r="J173" s="19" t="str">
        <f>IFERROR(INDEX(참조데이터!$D$2:$D$6,MATCH($K173,참조데이터!$E$2:$E$6,0)),"")</f>
        <v/>
      </c>
      <c r="K173" s="23" t="str">
        <f>IF($G173="","",MEDIAN(참조데이터!$H$1,참조데이터!$H$2,$G173+2*IF($G173=참조데이터!$H$1,1,-1)))</f>
        <v/>
      </c>
      <c r="L173" s="19" t="str">
        <f>IFERROR(INDEX(참조데이터!$D$2:$D$6,MATCH($M173,참조데이터!$E$2:$E$6,0)),"")</f>
        <v/>
      </c>
      <c r="M173" s="23" t="str">
        <f>IF($G173="","",MEDIAN(참조데이터!$H$1,참조데이터!$H$2,$G173+3*IF($G173=참조데이터!$H$1,1,-1)))</f>
        <v/>
      </c>
      <c r="N173" s="20" t="str">
        <f>IFERROR(INDEX(참조데이터!$D$2:$D$6,MATCH($O173,참조데이터!$E$2:$E$6,0)),"")</f>
        <v/>
      </c>
      <c r="O173" s="22" t="str">
        <f>IF($G173="","",MEDIAN(참조데이터!$H$1,참조데이터!$H$2,$G173+4*IF($G173=참조데이터!$H$1,1,-1)))</f>
        <v/>
      </c>
      <c r="P173" s="17"/>
      <c r="Q173" s="20"/>
      <c r="R173" s="24"/>
      <c r="S173" s="35" t="str">
        <f>IF($D173="","",IF($D173=참조데이터!$A$3,"",IFERROR(IF(VLOOKUP($D173,참조데이터!$A$1:$C$3,3,FALSE)="",1,VLOOKUP($D173,참조데이터!$A$1:$C$3,3,FALSE)),1)))</f>
        <v/>
      </c>
      <c r="T173" s="36" t="str">
        <f>IF($D173="","",IFERROR(VLOOKUP($D173,참조데이터!$A$9:$B$11,2,FALSE),""))</f>
        <v/>
      </c>
      <c r="U173" s="17"/>
    </row>
    <row r="174" spans="1:21" ht="22.05" customHeight="1" x14ac:dyDescent="0.4">
      <c r="A174" s="44"/>
      <c r="B174" s="48"/>
      <c r="C174" s="14"/>
      <c r="D174" s="15"/>
      <c r="E174" s="16"/>
      <c r="F174" s="17" t="str">
        <f>IFERROR(INDEX(참조데이터!$D$2:$D$6,MATCH($G174,참조데이터!$E$2:$E$6,0)),"")</f>
        <v/>
      </c>
      <c r="G174" s="23" t="str">
        <f>IF($D174="척도형",참조데이터!$E$2,"")</f>
        <v/>
      </c>
      <c r="H174" s="19" t="str">
        <f>IFERROR(INDEX(참조데이터!$D$2:$D$6,MATCH($I174,참조데이터!$E$2:$E$6,0)),"")</f>
        <v/>
      </c>
      <c r="I174" s="23" t="str">
        <f>IF($G174="","",MEDIAN(참조데이터!$H$1,참조데이터!$H$2,$G174+1*IF($G174=참조데이터!$H$1,1,-1)))</f>
        <v/>
      </c>
      <c r="J174" s="19" t="str">
        <f>IFERROR(INDEX(참조데이터!$D$2:$D$6,MATCH($K174,참조데이터!$E$2:$E$6,0)),"")</f>
        <v/>
      </c>
      <c r="K174" s="23" t="str">
        <f>IF($G174="","",MEDIAN(참조데이터!$H$1,참조데이터!$H$2,$G174+2*IF($G174=참조데이터!$H$1,1,-1)))</f>
        <v/>
      </c>
      <c r="L174" s="19" t="str">
        <f>IFERROR(INDEX(참조데이터!$D$2:$D$6,MATCH($M174,참조데이터!$E$2:$E$6,0)),"")</f>
        <v/>
      </c>
      <c r="M174" s="23" t="str">
        <f>IF($G174="","",MEDIAN(참조데이터!$H$1,참조데이터!$H$2,$G174+3*IF($G174=참조데이터!$H$1,1,-1)))</f>
        <v/>
      </c>
      <c r="N174" s="20" t="str">
        <f>IFERROR(INDEX(참조데이터!$D$2:$D$6,MATCH($O174,참조데이터!$E$2:$E$6,0)),"")</f>
        <v/>
      </c>
      <c r="O174" s="22" t="str">
        <f>IF($G174="","",MEDIAN(참조데이터!$H$1,참조데이터!$H$2,$G174+4*IF($G174=참조데이터!$H$1,1,-1)))</f>
        <v/>
      </c>
      <c r="P174" s="17"/>
      <c r="Q174" s="20"/>
      <c r="R174" s="24"/>
      <c r="S174" s="35" t="str">
        <f>IF($D174="","",IF($D174=참조데이터!$A$3,"",IFERROR(IF(VLOOKUP($D174,참조데이터!$A$1:$C$3,3,FALSE)="",1,VLOOKUP($D174,참조데이터!$A$1:$C$3,3,FALSE)),1)))</f>
        <v/>
      </c>
      <c r="T174" s="36" t="str">
        <f>IF($D174="","",IFERROR(VLOOKUP($D174,참조데이터!$A$9:$B$11,2,FALSE),""))</f>
        <v/>
      </c>
      <c r="U174" s="17"/>
    </row>
    <row r="175" spans="1:21" ht="22.05" customHeight="1" x14ac:dyDescent="0.4">
      <c r="A175" s="44"/>
      <c r="B175" s="48"/>
      <c r="C175" s="14"/>
      <c r="D175" s="15"/>
      <c r="E175" s="16"/>
      <c r="F175" s="17" t="str">
        <f>IFERROR(INDEX(참조데이터!$D$2:$D$6,MATCH($G175,참조데이터!$E$2:$E$6,0)),"")</f>
        <v/>
      </c>
      <c r="G175" s="23" t="str">
        <f>IF($D175="척도형",참조데이터!$E$2,"")</f>
        <v/>
      </c>
      <c r="H175" s="19" t="str">
        <f>IFERROR(INDEX(참조데이터!$D$2:$D$6,MATCH($I175,참조데이터!$E$2:$E$6,0)),"")</f>
        <v/>
      </c>
      <c r="I175" s="23" t="str">
        <f>IF($G175="","",MEDIAN(참조데이터!$H$1,참조데이터!$H$2,$G175+1*IF($G175=참조데이터!$H$1,1,-1)))</f>
        <v/>
      </c>
      <c r="J175" s="19" t="str">
        <f>IFERROR(INDEX(참조데이터!$D$2:$D$6,MATCH($K175,참조데이터!$E$2:$E$6,0)),"")</f>
        <v/>
      </c>
      <c r="K175" s="23" t="str">
        <f>IF($G175="","",MEDIAN(참조데이터!$H$1,참조데이터!$H$2,$G175+2*IF($G175=참조데이터!$H$1,1,-1)))</f>
        <v/>
      </c>
      <c r="L175" s="19" t="str">
        <f>IFERROR(INDEX(참조데이터!$D$2:$D$6,MATCH($M175,참조데이터!$E$2:$E$6,0)),"")</f>
        <v/>
      </c>
      <c r="M175" s="23" t="str">
        <f>IF($G175="","",MEDIAN(참조데이터!$H$1,참조데이터!$H$2,$G175+3*IF($G175=참조데이터!$H$1,1,-1)))</f>
        <v/>
      </c>
      <c r="N175" s="20" t="str">
        <f>IFERROR(INDEX(참조데이터!$D$2:$D$6,MATCH($O175,참조데이터!$E$2:$E$6,0)),"")</f>
        <v/>
      </c>
      <c r="O175" s="22" t="str">
        <f>IF($G175="","",MEDIAN(참조데이터!$H$1,참조데이터!$H$2,$G175+4*IF($G175=참조데이터!$H$1,1,-1)))</f>
        <v/>
      </c>
      <c r="P175" s="17"/>
      <c r="Q175" s="20"/>
      <c r="R175" s="24"/>
      <c r="S175" s="35" t="str">
        <f>IF($D175="","",IF($D175=참조데이터!$A$3,"",IFERROR(IF(VLOOKUP($D175,참조데이터!$A$1:$C$3,3,FALSE)="",1,VLOOKUP($D175,참조데이터!$A$1:$C$3,3,FALSE)),1)))</f>
        <v/>
      </c>
      <c r="T175" s="36" t="str">
        <f>IF($D175="","",IFERROR(VLOOKUP($D175,참조데이터!$A$9:$B$11,2,FALSE),""))</f>
        <v/>
      </c>
      <c r="U175" s="17"/>
    </row>
    <row r="176" spans="1:21" ht="22.05" customHeight="1" x14ac:dyDescent="0.4">
      <c r="A176" s="44"/>
      <c r="B176" s="48"/>
      <c r="C176" s="14"/>
      <c r="D176" s="15"/>
      <c r="E176" s="16"/>
      <c r="F176" s="17" t="str">
        <f>IFERROR(INDEX(참조데이터!$D$2:$D$6,MATCH($G176,참조데이터!$E$2:$E$6,0)),"")</f>
        <v/>
      </c>
      <c r="G176" s="23" t="str">
        <f>IF($D176="척도형",참조데이터!$E$2,"")</f>
        <v/>
      </c>
      <c r="H176" s="19" t="str">
        <f>IFERROR(INDEX(참조데이터!$D$2:$D$6,MATCH($I176,참조데이터!$E$2:$E$6,0)),"")</f>
        <v/>
      </c>
      <c r="I176" s="23" t="str">
        <f>IF($G176="","",MEDIAN(참조데이터!$H$1,참조데이터!$H$2,$G176+1*IF($G176=참조데이터!$H$1,1,-1)))</f>
        <v/>
      </c>
      <c r="J176" s="19" t="str">
        <f>IFERROR(INDEX(참조데이터!$D$2:$D$6,MATCH($K176,참조데이터!$E$2:$E$6,0)),"")</f>
        <v/>
      </c>
      <c r="K176" s="23" t="str">
        <f>IF($G176="","",MEDIAN(참조데이터!$H$1,참조데이터!$H$2,$G176+2*IF($G176=참조데이터!$H$1,1,-1)))</f>
        <v/>
      </c>
      <c r="L176" s="19" t="str">
        <f>IFERROR(INDEX(참조데이터!$D$2:$D$6,MATCH($M176,참조데이터!$E$2:$E$6,0)),"")</f>
        <v/>
      </c>
      <c r="M176" s="23" t="str">
        <f>IF($G176="","",MEDIAN(참조데이터!$H$1,참조데이터!$H$2,$G176+3*IF($G176=참조데이터!$H$1,1,-1)))</f>
        <v/>
      </c>
      <c r="N176" s="20" t="str">
        <f>IFERROR(INDEX(참조데이터!$D$2:$D$6,MATCH($O176,참조데이터!$E$2:$E$6,0)),"")</f>
        <v/>
      </c>
      <c r="O176" s="22" t="str">
        <f>IF($G176="","",MEDIAN(참조데이터!$H$1,참조데이터!$H$2,$G176+4*IF($G176=참조데이터!$H$1,1,-1)))</f>
        <v/>
      </c>
      <c r="P176" s="17"/>
      <c r="Q176" s="20"/>
      <c r="R176" s="24"/>
      <c r="S176" s="35" t="str">
        <f>IF($D176="","",IF($D176=참조데이터!$A$3,"",IFERROR(IF(VLOOKUP($D176,참조데이터!$A$1:$C$3,3,FALSE)="",1,VLOOKUP($D176,참조데이터!$A$1:$C$3,3,FALSE)),1)))</f>
        <v/>
      </c>
      <c r="T176" s="36" t="str">
        <f>IF($D176="","",IFERROR(VLOOKUP($D176,참조데이터!$A$9:$B$11,2,FALSE),""))</f>
        <v/>
      </c>
      <c r="U176" s="17"/>
    </row>
    <row r="177" spans="1:21" ht="22.05" customHeight="1" x14ac:dyDescent="0.4">
      <c r="A177" s="44"/>
      <c r="B177" s="48"/>
      <c r="C177" s="14"/>
      <c r="D177" s="15"/>
      <c r="E177" s="16"/>
      <c r="F177" s="17" t="str">
        <f>IFERROR(INDEX(참조데이터!$D$2:$D$6,MATCH($G177,참조데이터!$E$2:$E$6,0)),"")</f>
        <v/>
      </c>
      <c r="G177" s="23" t="str">
        <f>IF($D177="척도형",참조데이터!$E$2,"")</f>
        <v/>
      </c>
      <c r="H177" s="19" t="str">
        <f>IFERROR(INDEX(참조데이터!$D$2:$D$6,MATCH($I177,참조데이터!$E$2:$E$6,0)),"")</f>
        <v/>
      </c>
      <c r="I177" s="23" t="str">
        <f>IF($G177="","",MEDIAN(참조데이터!$H$1,참조데이터!$H$2,$G177+1*IF($G177=참조데이터!$H$1,1,-1)))</f>
        <v/>
      </c>
      <c r="J177" s="19" t="str">
        <f>IFERROR(INDEX(참조데이터!$D$2:$D$6,MATCH($K177,참조데이터!$E$2:$E$6,0)),"")</f>
        <v/>
      </c>
      <c r="K177" s="23" t="str">
        <f>IF($G177="","",MEDIAN(참조데이터!$H$1,참조데이터!$H$2,$G177+2*IF($G177=참조데이터!$H$1,1,-1)))</f>
        <v/>
      </c>
      <c r="L177" s="19" t="str">
        <f>IFERROR(INDEX(참조데이터!$D$2:$D$6,MATCH($M177,참조데이터!$E$2:$E$6,0)),"")</f>
        <v/>
      </c>
      <c r="M177" s="23" t="str">
        <f>IF($G177="","",MEDIAN(참조데이터!$H$1,참조데이터!$H$2,$G177+3*IF($G177=참조데이터!$H$1,1,-1)))</f>
        <v/>
      </c>
      <c r="N177" s="20" t="str">
        <f>IFERROR(INDEX(참조데이터!$D$2:$D$6,MATCH($O177,참조데이터!$E$2:$E$6,0)),"")</f>
        <v/>
      </c>
      <c r="O177" s="22" t="str">
        <f>IF($G177="","",MEDIAN(참조데이터!$H$1,참조데이터!$H$2,$G177+4*IF($G177=참조데이터!$H$1,1,-1)))</f>
        <v/>
      </c>
      <c r="P177" s="17"/>
      <c r="Q177" s="20"/>
      <c r="R177" s="24"/>
      <c r="S177" s="35" t="str">
        <f>IF($D177="","",IF($D177=참조데이터!$A$3,"",IFERROR(IF(VLOOKUP($D177,참조데이터!$A$1:$C$3,3,FALSE)="",1,VLOOKUP($D177,참조데이터!$A$1:$C$3,3,FALSE)),1)))</f>
        <v/>
      </c>
      <c r="T177" s="36" t="str">
        <f>IF($D177="","",IFERROR(VLOOKUP($D177,참조데이터!$A$9:$B$11,2,FALSE),""))</f>
        <v/>
      </c>
      <c r="U177" s="17"/>
    </row>
    <row r="178" spans="1:21" ht="22.05" customHeight="1" x14ac:dyDescent="0.4">
      <c r="A178" s="44"/>
      <c r="B178" s="48"/>
      <c r="C178" s="14"/>
      <c r="D178" s="15"/>
      <c r="E178" s="16"/>
      <c r="F178" s="17" t="str">
        <f>IFERROR(INDEX(참조데이터!$D$2:$D$6,MATCH($G178,참조데이터!$E$2:$E$6,0)),"")</f>
        <v/>
      </c>
      <c r="G178" s="23" t="str">
        <f>IF($D178="척도형",참조데이터!$E$2,"")</f>
        <v/>
      </c>
      <c r="H178" s="19" t="str">
        <f>IFERROR(INDEX(참조데이터!$D$2:$D$6,MATCH($I178,참조데이터!$E$2:$E$6,0)),"")</f>
        <v/>
      </c>
      <c r="I178" s="23" t="str">
        <f>IF($G178="","",MEDIAN(참조데이터!$H$1,참조데이터!$H$2,$G178+1*IF($G178=참조데이터!$H$1,1,-1)))</f>
        <v/>
      </c>
      <c r="J178" s="19" t="str">
        <f>IFERROR(INDEX(참조데이터!$D$2:$D$6,MATCH($K178,참조데이터!$E$2:$E$6,0)),"")</f>
        <v/>
      </c>
      <c r="K178" s="23" t="str">
        <f>IF($G178="","",MEDIAN(참조데이터!$H$1,참조데이터!$H$2,$G178+2*IF($G178=참조데이터!$H$1,1,-1)))</f>
        <v/>
      </c>
      <c r="L178" s="19" t="str">
        <f>IFERROR(INDEX(참조데이터!$D$2:$D$6,MATCH($M178,참조데이터!$E$2:$E$6,0)),"")</f>
        <v/>
      </c>
      <c r="M178" s="23" t="str">
        <f>IF($G178="","",MEDIAN(참조데이터!$H$1,참조데이터!$H$2,$G178+3*IF($G178=참조데이터!$H$1,1,-1)))</f>
        <v/>
      </c>
      <c r="N178" s="20" t="str">
        <f>IFERROR(INDEX(참조데이터!$D$2:$D$6,MATCH($O178,참조데이터!$E$2:$E$6,0)),"")</f>
        <v/>
      </c>
      <c r="O178" s="22" t="str">
        <f>IF($G178="","",MEDIAN(참조데이터!$H$1,참조데이터!$H$2,$G178+4*IF($G178=참조데이터!$H$1,1,-1)))</f>
        <v/>
      </c>
      <c r="P178" s="17"/>
      <c r="Q178" s="20"/>
      <c r="R178" s="24"/>
      <c r="S178" s="35" t="str">
        <f>IF($D178="","",IF($D178=참조데이터!$A$3,"",IFERROR(IF(VLOOKUP($D178,참조데이터!$A$1:$C$3,3,FALSE)="",1,VLOOKUP($D178,참조데이터!$A$1:$C$3,3,FALSE)),1)))</f>
        <v/>
      </c>
      <c r="T178" s="36" t="str">
        <f>IF($D178="","",IFERROR(VLOOKUP($D178,참조데이터!$A$9:$B$11,2,FALSE),""))</f>
        <v/>
      </c>
      <c r="U178" s="17"/>
    </row>
    <row r="179" spans="1:21" ht="22.05" customHeight="1" x14ac:dyDescent="0.4">
      <c r="A179" s="44"/>
      <c r="B179" s="48"/>
      <c r="C179" s="14"/>
      <c r="D179" s="15"/>
      <c r="E179" s="16"/>
      <c r="F179" s="17" t="str">
        <f>IFERROR(INDEX(참조데이터!$D$2:$D$6,MATCH($G179,참조데이터!$E$2:$E$6,0)),"")</f>
        <v/>
      </c>
      <c r="G179" s="23" t="str">
        <f>IF($D179="척도형",참조데이터!$E$2,"")</f>
        <v/>
      </c>
      <c r="H179" s="19" t="str">
        <f>IFERROR(INDEX(참조데이터!$D$2:$D$6,MATCH($I179,참조데이터!$E$2:$E$6,0)),"")</f>
        <v/>
      </c>
      <c r="I179" s="23" t="str">
        <f>IF($G179="","",MEDIAN(참조데이터!$H$1,참조데이터!$H$2,$G179+1*IF($G179=참조데이터!$H$1,1,-1)))</f>
        <v/>
      </c>
      <c r="J179" s="19" t="str">
        <f>IFERROR(INDEX(참조데이터!$D$2:$D$6,MATCH($K179,참조데이터!$E$2:$E$6,0)),"")</f>
        <v/>
      </c>
      <c r="K179" s="23" t="str">
        <f>IF($G179="","",MEDIAN(참조데이터!$H$1,참조데이터!$H$2,$G179+2*IF($G179=참조데이터!$H$1,1,-1)))</f>
        <v/>
      </c>
      <c r="L179" s="19" t="str">
        <f>IFERROR(INDEX(참조데이터!$D$2:$D$6,MATCH($M179,참조데이터!$E$2:$E$6,0)),"")</f>
        <v/>
      </c>
      <c r="M179" s="23" t="str">
        <f>IF($G179="","",MEDIAN(참조데이터!$H$1,참조데이터!$H$2,$G179+3*IF($G179=참조데이터!$H$1,1,-1)))</f>
        <v/>
      </c>
      <c r="N179" s="20" t="str">
        <f>IFERROR(INDEX(참조데이터!$D$2:$D$6,MATCH($O179,참조데이터!$E$2:$E$6,0)),"")</f>
        <v/>
      </c>
      <c r="O179" s="22" t="str">
        <f>IF($G179="","",MEDIAN(참조데이터!$H$1,참조데이터!$H$2,$G179+4*IF($G179=참조데이터!$H$1,1,-1)))</f>
        <v/>
      </c>
      <c r="P179" s="17"/>
      <c r="Q179" s="20"/>
      <c r="R179" s="24"/>
      <c r="S179" s="35" t="str">
        <f>IF($D179="","",IF($D179=참조데이터!$A$3,"",IFERROR(IF(VLOOKUP($D179,참조데이터!$A$1:$C$3,3,FALSE)="",1,VLOOKUP($D179,참조데이터!$A$1:$C$3,3,FALSE)),1)))</f>
        <v/>
      </c>
      <c r="T179" s="36" t="str">
        <f>IF($D179="","",IFERROR(VLOOKUP($D179,참조데이터!$A$9:$B$11,2,FALSE),""))</f>
        <v/>
      </c>
      <c r="U179" s="17"/>
    </row>
    <row r="180" spans="1:21" ht="22.05" customHeight="1" x14ac:dyDescent="0.4">
      <c r="A180" s="44"/>
      <c r="B180" s="48"/>
      <c r="C180" s="14"/>
      <c r="D180" s="15"/>
      <c r="E180" s="16"/>
      <c r="F180" s="17" t="str">
        <f>IFERROR(INDEX(참조데이터!$D$2:$D$6,MATCH($G180,참조데이터!$E$2:$E$6,0)),"")</f>
        <v/>
      </c>
      <c r="G180" s="23" t="str">
        <f>IF($D180="척도형",참조데이터!$E$2,"")</f>
        <v/>
      </c>
      <c r="H180" s="19" t="str">
        <f>IFERROR(INDEX(참조데이터!$D$2:$D$6,MATCH($I180,참조데이터!$E$2:$E$6,0)),"")</f>
        <v/>
      </c>
      <c r="I180" s="23" t="str">
        <f>IF($G180="","",MEDIAN(참조데이터!$H$1,참조데이터!$H$2,$G180+1*IF($G180=참조데이터!$H$1,1,-1)))</f>
        <v/>
      </c>
      <c r="J180" s="19" t="str">
        <f>IFERROR(INDEX(참조데이터!$D$2:$D$6,MATCH($K180,참조데이터!$E$2:$E$6,0)),"")</f>
        <v/>
      </c>
      <c r="K180" s="23" t="str">
        <f>IF($G180="","",MEDIAN(참조데이터!$H$1,참조데이터!$H$2,$G180+2*IF($G180=참조데이터!$H$1,1,-1)))</f>
        <v/>
      </c>
      <c r="L180" s="19" t="str">
        <f>IFERROR(INDEX(참조데이터!$D$2:$D$6,MATCH($M180,참조데이터!$E$2:$E$6,0)),"")</f>
        <v/>
      </c>
      <c r="M180" s="23" t="str">
        <f>IF($G180="","",MEDIAN(참조데이터!$H$1,참조데이터!$H$2,$G180+3*IF($G180=참조데이터!$H$1,1,-1)))</f>
        <v/>
      </c>
      <c r="N180" s="20" t="str">
        <f>IFERROR(INDEX(참조데이터!$D$2:$D$6,MATCH($O180,참조데이터!$E$2:$E$6,0)),"")</f>
        <v/>
      </c>
      <c r="O180" s="22" t="str">
        <f>IF($G180="","",MEDIAN(참조데이터!$H$1,참조데이터!$H$2,$G180+4*IF($G180=참조데이터!$H$1,1,-1)))</f>
        <v/>
      </c>
      <c r="P180" s="17"/>
      <c r="Q180" s="20"/>
      <c r="R180" s="24"/>
      <c r="S180" s="35" t="str">
        <f>IF($D180="","",IF($D180=참조데이터!$A$3,"",IFERROR(IF(VLOOKUP($D180,참조데이터!$A$1:$C$3,3,FALSE)="",1,VLOOKUP($D180,참조데이터!$A$1:$C$3,3,FALSE)),1)))</f>
        <v/>
      </c>
      <c r="T180" s="36" t="str">
        <f>IF($D180="","",IFERROR(VLOOKUP($D180,참조데이터!$A$9:$B$11,2,FALSE),""))</f>
        <v/>
      </c>
      <c r="U180" s="17"/>
    </row>
    <row r="181" spans="1:21" ht="22.05" customHeight="1" x14ac:dyDescent="0.4">
      <c r="A181" s="44"/>
      <c r="B181" s="48"/>
      <c r="C181" s="14"/>
      <c r="D181" s="15"/>
      <c r="E181" s="16"/>
      <c r="F181" s="17" t="str">
        <f>IFERROR(INDEX(참조데이터!$D$2:$D$6,MATCH($G181,참조데이터!$E$2:$E$6,0)),"")</f>
        <v/>
      </c>
      <c r="G181" s="23" t="str">
        <f>IF($D181="척도형",참조데이터!$E$2,"")</f>
        <v/>
      </c>
      <c r="H181" s="19" t="str">
        <f>IFERROR(INDEX(참조데이터!$D$2:$D$6,MATCH($I181,참조데이터!$E$2:$E$6,0)),"")</f>
        <v/>
      </c>
      <c r="I181" s="23" t="str">
        <f>IF($G181="","",MEDIAN(참조데이터!$H$1,참조데이터!$H$2,$G181+1*IF($G181=참조데이터!$H$1,1,-1)))</f>
        <v/>
      </c>
      <c r="J181" s="19" t="str">
        <f>IFERROR(INDEX(참조데이터!$D$2:$D$6,MATCH($K181,참조데이터!$E$2:$E$6,0)),"")</f>
        <v/>
      </c>
      <c r="K181" s="23" t="str">
        <f>IF($G181="","",MEDIAN(참조데이터!$H$1,참조데이터!$H$2,$G181+2*IF($G181=참조데이터!$H$1,1,-1)))</f>
        <v/>
      </c>
      <c r="L181" s="19" t="str">
        <f>IFERROR(INDEX(참조데이터!$D$2:$D$6,MATCH($M181,참조데이터!$E$2:$E$6,0)),"")</f>
        <v/>
      </c>
      <c r="M181" s="23" t="str">
        <f>IF($G181="","",MEDIAN(참조데이터!$H$1,참조데이터!$H$2,$G181+3*IF($G181=참조데이터!$H$1,1,-1)))</f>
        <v/>
      </c>
      <c r="N181" s="20" t="str">
        <f>IFERROR(INDEX(참조데이터!$D$2:$D$6,MATCH($O181,참조데이터!$E$2:$E$6,0)),"")</f>
        <v/>
      </c>
      <c r="O181" s="22" t="str">
        <f>IF($G181="","",MEDIAN(참조데이터!$H$1,참조데이터!$H$2,$G181+4*IF($G181=참조데이터!$H$1,1,-1)))</f>
        <v/>
      </c>
      <c r="P181" s="17"/>
      <c r="Q181" s="20"/>
      <c r="R181" s="24"/>
      <c r="S181" s="35" t="str">
        <f>IF($D181="","",IF($D181=참조데이터!$A$3,"",IFERROR(IF(VLOOKUP($D181,참조데이터!$A$1:$C$3,3,FALSE)="",1,VLOOKUP($D181,참조데이터!$A$1:$C$3,3,FALSE)),1)))</f>
        <v/>
      </c>
      <c r="T181" s="36" t="str">
        <f>IF($D181="","",IFERROR(VLOOKUP($D181,참조데이터!$A$9:$B$11,2,FALSE),""))</f>
        <v/>
      </c>
      <c r="U181" s="17"/>
    </row>
    <row r="182" spans="1:21" ht="22.05" customHeight="1" x14ac:dyDescent="0.4">
      <c r="A182" s="44"/>
      <c r="B182" s="48"/>
      <c r="C182" s="14"/>
      <c r="D182" s="15"/>
      <c r="E182" s="16"/>
      <c r="F182" s="17" t="str">
        <f>IFERROR(INDEX(참조데이터!$D$2:$D$6,MATCH($G182,참조데이터!$E$2:$E$6,0)),"")</f>
        <v/>
      </c>
      <c r="G182" s="23" t="str">
        <f>IF($D182="척도형",참조데이터!$E$2,"")</f>
        <v/>
      </c>
      <c r="H182" s="19" t="str">
        <f>IFERROR(INDEX(참조데이터!$D$2:$D$6,MATCH($I182,참조데이터!$E$2:$E$6,0)),"")</f>
        <v/>
      </c>
      <c r="I182" s="23" t="str">
        <f>IF($G182="","",MEDIAN(참조데이터!$H$1,참조데이터!$H$2,$G182+1*IF($G182=참조데이터!$H$1,1,-1)))</f>
        <v/>
      </c>
      <c r="J182" s="19" t="str">
        <f>IFERROR(INDEX(참조데이터!$D$2:$D$6,MATCH($K182,참조데이터!$E$2:$E$6,0)),"")</f>
        <v/>
      </c>
      <c r="K182" s="23" t="str">
        <f>IF($G182="","",MEDIAN(참조데이터!$H$1,참조데이터!$H$2,$G182+2*IF($G182=참조데이터!$H$1,1,-1)))</f>
        <v/>
      </c>
      <c r="L182" s="19" t="str">
        <f>IFERROR(INDEX(참조데이터!$D$2:$D$6,MATCH($M182,참조데이터!$E$2:$E$6,0)),"")</f>
        <v/>
      </c>
      <c r="M182" s="23" t="str">
        <f>IF($G182="","",MEDIAN(참조데이터!$H$1,참조데이터!$H$2,$G182+3*IF($G182=참조데이터!$H$1,1,-1)))</f>
        <v/>
      </c>
      <c r="N182" s="20" t="str">
        <f>IFERROR(INDEX(참조데이터!$D$2:$D$6,MATCH($O182,참조데이터!$E$2:$E$6,0)),"")</f>
        <v/>
      </c>
      <c r="O182" s="22" t="str">
        <f>IF($G182="","",MEDIAN(참조데이터!$H$1,참조데이터!$H$2,$G182+4*IF($G182=참조데이터!$H$1,1,-1)))</f>
        <v/>
      </c>
      <c r="P182" s="17"/>
      <c r="Q182" s="20"/>
      <c r="R182" s="24"/>
      <c r="S182" s="35" t="str">
        <f>IF($D182="","",IF($D182=참조데이터!$A$3,"",IFERROR(IF(VLOOKUP($D182,참조데이터!$A$1:$C$3,3,FALSE)="",1,VLOOKUP($D182,참조데이터!$A$1:$C$3,3,FALSE)),1)))</f>
        <v/>
      </c>
      <c r="T182" s="36" t="str">
        <f>IF($D182="","",IFERROR(VLOOKUP($D182,참조데이터!$A$9:$B$11,2,FALSE),""))</f>
        <v/>
      </c>
      <c r="U182" s="17"/>
    </row>
    <row r="183" spans="1:21" ht="22.05" customHeight="1" x14ac:dyDescent="0.4">
      <c r="A183" s="44"/>
      <c r="B183" s="48"/>
      <c r="C183" s="14"/>
      <c r="D183" s="15"/>
      <c r="E183" s="16"/>
      <c r="F183" s="17" t="str">
        <f>IFERROR(INDEX(참조데이터!$D$2:$D$6,MATCH($G183,참조데이터!$E$2:$E$6,0)),"")</f>
        <v/>
      </c>
      <c r="G183" s="23" t="str">
        <f>IF($D183="척도형",참조데이터!$E$2,"")</f>
        <v/>
      </c>
      <c r="H183" s="19" t="str">
        <f>IFERROR(INDEX(참조데이터!$D$2:$D$6,MATCH($I183,참조데이터!$E$2:$E$6,0)),"")</f>
        <v/>
      </c>
      <c r="I183" s="23" t="str">
        <f>IF($G183="","",MEDIAN(참조데이터!$H$1,참조데이터!$H$2,$G183+1*IF($G183=참조데이터!$H$1,1,-1)))</f>
        <v/>
      </c>
      <c r="J183" s="19" t="str">
        <f>IFERROR(INDEX(참조데이터!$D$2:$D$6,MATCH($K183,참조데이터!$E$2:$E$6,0)),"")</f>
        <v/>
      </c>
      <c r="K183" s="23" t="str">
        <f>IF($G183="","",MEDIAN(참조데이터!$H$1,참조데이터!$H$2,$G183+2*IF($G183=참조데이터!$H$1,1,-1)))</f>
        <v/>
      </c>
      <c r="L183" s="19" t="str">
        <f>IFERROR(INDEX(참조데이터!$D$2:$D$6,MATCH($M183,참조데이터!$E$2:$E$6,0)),"")</f>
        <v/>
      </c>
      <c r="M183" s="23" t="str">
        <f>IF($G183="","",MEDIAN(참조데이터!$H$1,참조데이터!$H$2,$G183+3*IF($G183=참조데이터!$H$1,1,-1)))</f>
        <v/>
      </c>
      <c r="N183" s="20" t="str">
        <f>IFERROR(INDEX(참조데이터!$D$2:$D$6,MATCH($O183,참조데이터!$E$2:$E$6,0)),"")</f>
        <v/>
      </c>
      <c r="O183" s="22" t="str">
        <f>IF($G183="","",MEDIAN(참조데이터!$H$1,참조데이터!$H$2,$G183+4*IF($G183=참조데이터!$H$1,1,-1)))</f>
        <v/>
      </c>
      <c r="P183" s="17"/>
      <c r="Q183" s="20"/>
      <c r="R183" s="24"/>
      <c r="S183" s="35" t="str">
        <f>IF($D183="","",IF($D183=참조데이터!$A$3,"",IFERROR(IF(VLOOKUP($D183,참조데이터!$A$1:$C$3,3,FALSE)="",1,VLOOKUP($D183,참조데이터!$A$1:$C$3,3,FALSE)),1)))</f>
        <v/>
      </c>
      <c r="T183" s="36" t="str">
        <f>IF($D183="","",IFERROR(VLOOKUP($D183,참조데이터!$A$9:$B$11,2,FALSE),""))</f>
        <v/>
      </c>
      <c r="U183" s="17"/>
    </row>
    <row r="184" spans="1:21" ht="22.05" customHeight="1" x14ac:dyDescent="0.4">
      <c r="A184" s="44"/>
      <c r="B184" s="48"/>
      <c r="C184" s="14"/>
      <c r="D184" s="15"/>
      <c r="E184" s="16"/>
      <c r="F184" s="17" t="str">
        <f>IFERROR(INDEX(참조데이터!$D$2:$D$6,MATCH($G184,참조데이터!$E$2:$E$6,0)),"")</f>
        <v/>
      </c>
      <c r="G184" s="23" t="str">
        <f>IF($D184="척도형",참조데이터!$E$2,"")</f>
        <v/>
      </c>
      <c r="H184" s="19" t="str">
        <f>IFERROR(INDEX(참조데이터!$D$2:$D$6,MATCH($I184,참조데이터!$E$2:$E$6,0)),"")</f>
        <v/>
      </c>
      <c r="I184" s="23" t="str">
        <f>IF($G184="","",MEDIAN(참조데이터!$H$1,참조데이터!$H$2,$G184+1*IF($G184=참조데이터!$H$1,1,-1)))</f>
        <v/>
      </c>
      <c r="J184" s="19" t="str">
        <f>IFERROR(INDEX(참조데이터!$D$2:$D$6,MATCH($K184,참조데이터!$E$2:$E$6,0)),"")</f>
        <v/>
      </c>
      <c r="K184" s="23" t="str">
        <f>IF($G184="","",MEDIAN(참조데이터!$H$1,참조데이터!$H$2,$G184+2*IF($G184=참조데이터!$H$1,1,-1)))</f>
        <v/>
      </c>
      <c r="L184" s="19" t="str">
        <f>IFERROR(INDEX(참조데이터!$D$2:$D$6,MATCH($M184,참조데이터!$E$2:$E$6,0)),"")</f>
        <v/>
      </c>
      <c r="M184" s="23" t="str">
        <f>IF($G184="","",MEDIAN(참조데이터!$H$1,참조데이터!$H$2,$G184+3*IF($G184=참조데이터!$H$1,1,-1)))</f>
        <v/>
      </c>
      <c r="N184" s="20" t="str">
        <f>IFERROR(INDEX(참조데이터!$D$2:$D$6,MATCH($O184,참조데이터!$E$2:$E$6,0)),"")</f>
        <v/>
      </c>
      <c r="O184" s="22" t="str">
        <f>IF($G184="","",MEDIAN(참조데이터!$H$1,참조데이터!$H$2,$G184+4*IF($G184=참조데이터!$H$1,1,-1)))</f>
        <v/>
      </c>
      <c r="P184" s="17"/>
      <c r="Q184" s="20"/>
      <c r="R184" s="24"/>
      <c r="S184" s="35" t="str">
        <f>IF($D184="","",IF($D184=참조데이터!$A$3,"",IFERROR(IF(VLOOKUP($D184,참조데이터!$A$1:$C$3,3,FALSE)="",1,VLOOKUP($D184,참조데이터!$A$1:$C$3,3,FALSE)),1)))</f>
        <v/>
      </c>
      <c r="T184" s="36" t="str">
        <f>IF($D184="","",IFERROR(VLOOKUP($D184,참조데이터!$A$9:$B$11,2,FALSE),""))</f>
        <v/>
      </c>
      <c r="U184" s="17"/>
    </row>
    <row r="185" spans="1:21" ht="22.05" customHeight="1" x14ac:dyDescent="0.4">
      <c r="A185" s="44"/>
      <c r="B185" s="48"/>
      <c r="C185" s="14"/>
      <c r="D185" s="15"/>
      <c r="E185" s="16"/>
      <c r="F185" s="17" t="str">
        <f>IFERROR(INDEX(참조데이터!$D$2:$D$6,MATCH($G185,참조데이터!$E$2:$E$6,0)),"")</f>
        <v/>
      </c>
      <c r="G185" s="23" t="str">
        <f>IF($D185="척도형",참조데이터!$E$2,"")</f>
        <v/>
      </c>
      <c r="H185" s="19" t="str">
        <f>IFERROR(INDEX(참조데이터!$D$2:$D$6,MATCH($I185,참조데이터!$E$2:$E$6,0)),"")</f>
        <v/>
      </c>
      <c r="I185" s="23" t="str">
        <f>IF($G185="","",MEDIAN(참조데이터!$H$1,참조데이터!$H$2,$G185+1*IF($G185=참조데이터!$H$1,1,-1)))</f>
        <v/>
      </c>
      <c r="J185" s="19" t="str">
        <f>IFERROR(INDEX(참조데이터!$D$2:$D$6,MATCH($K185,참조데이터!$E$2:$E$6,0)),"")</f>
        <v/>
      </c>
      <c r="K185" s="23" t="str">
        <f>IF($G185="","",MEDIAN(참조데이터!$H$1,참조데이터!$H$2,$G185+2*IF($G185=참조데이터!$H$1,1,-1)))</f>
        <v/>
      </c>
      <c r="L185" s="19" t="str">
        <f>IFERROR(INDEX(참조데이터!$D$2:$D$6,MATCH($M185,참조데이터!$E$2:$E$6,0)),"")</f>
        <v/>
      </c>
      <c r="M185" s="23" t="str">
        <f>IF($G185="","",MEDIAN(참조데이터!$H$1,참조데이터!$H$2,$G185+3*IF($G185=참조데이터!$H$1,1,-1)))</f>
        <v/>
      </c>
      <c r="N185" s="20" t="str">
        <f>IFERROR(INDEX(참조데이터!$D$2:$D$6,MATCH($O185,참조데이터!$E$2:$E$6,0)),"")</f>
        <v/>
      </c>
      <c r="O185" s="22" t="str">
        <f>IF($G185="","",MEDIAN(참조데이터!$H$1,참조데이터!$H$2,$G185+4*IF($G185=참조데이터!$H$1,1,-1)))</f>
        <v/>
      </c>
      <c r="P185" s="17"/>
      <c r="Q185" s="20"/>
      <c r="R185" s="24"/>
      <c r="S185" s="35" t="str">
        <f>IF($D185="","",IF($D185=참조데이터!$A$3,"",IFERROR(IF(VLOOKUP($D185,참조데이터!$A$1:$C$3,3,FALSE)="",1,VLOOKUP($D185,참조데이터!$A$1:$C$3,3,FALSE)),1)))</f>
        <v/>
      </c>
      <c r="T185" s="36" t="str">
        <f>IF($D185="","",IFERROR(VLOOKUP($D185,참조데이터!$A$9:$B$11,2,FALSE),""))</f>
        <v/>
      </c>
      <c r="U185" s="17"/>
    </row>
    <row r="186" spans="1:21" ht="22.05" customHeight="1" x14ac:dyDescent="0.4">
      <c r="A186" s="44"/>
      <c r="B186" s="48"/>
      <c r="C186" s="14"/>
      <c r="D186" s="15"/>
      <c r="E186" s="16"/>
      <c r="F186" s="17" t="str">
        <f>IFERROR(INDEX(참조데이터!$D$2:$D$6,MATCH($G186,참조데이터!$E$2:$E$6,0)),"")</f>
        <v/>
      </c>
      <c r="G186" s="23" t="str">
        <f>IF($D186="척도형",참조데이터!$E$2,"")</f>
        <v/>
      </c>
      <c r="H186" s="19" t="str">
        <f>IFERROR(INDEX(참조데이터!$D$2:$D$6,MATCH($I186,참조데이터!$E$2:$E$6,0)),"")</f>
        <v/>
      </c>
      <c r="I186" s="23" t="str">
        <f>IF($G186="","",MEDIAN(참조데이터!$H$1,참조데이터!$H$2,$G186+1*IF($G186=참조데이터!$H$1,1,-1)))</f>
        <v/>
      </c>
      <c r="J186" s="19" t="str">
        <f>IFERROR(INDEX(참조데이터!$D$2:$D$6,MATCH($K186,참조데이터!$E$2:$E$6,0)),"")</f>
        <v/>
      </c>
      <c r="K186" s="23" t="str">
        <f>IF($G186="","",MEDIAN(참조데이터!$H$1,참조데이터!$H$2,$G186+2*IF($G186=참조데이터!$H$1,1,-1)))</f>
        <v/>
      </c>
      <c r="L186" s="19" t="str">
        <f>IFERROR(INDEX(참조데이터!$D$2:$D$6,MATCH($M186,참조데이터!$E$2:$E$6,0)),"")</f>
        <v/>
      </c>
      <c r="M186" s="23" t="str">
        <f>IF($G186="","",MEDIAN(참조데이터!$H$1,참조데이터!$H$2,$G186+3*IF($G186=참조데이터!$H$1,1,-1)))</f>
        <v/>
      </c>
      <c r="N186" s="20" t="str">
        <f>IFERROR(INDEX(참조데이터!$D$2:$D$6,MATCH($O186,참조데이터!$E$2:$E$6,0)),"")</f>
        <v/>
      </c>
      <c r="O186" s="22" t="str">
        <f>IF($G186="","",MEDIAN(참조데이터!$H$1,참조데이터!$H$2,$G186+4*IF($G186=참조데이터!$H$1,1,-1)))</f>
        <v/>
      </c>
      <c r="P186" s="17"/>
      <c r="Q186" s="20"/>
      <c r="R186" s="24"/>
      <c r="S186" s="35" t="str">
        <f>IF($D186="","",IF($D186=참조데이터!$A$3,"",IFERROR(IF(VLOOKUP($D186,참조데이터!$A$1:$C$3,3,FALSE)="",1,VLOOKUP($D186,참조데이터!$A$1:$C$3,3,FALSE)),1)))</f>
        <v/>
      </c>
      <c r="T186" s="36" t="str">
        <f>IF($D186="","",IFERROR(VLOOKUP($D186,참조데이터!$A$9:$B$11,2,FALSE),""))</f>
        <v/>
      </c>
      <c r="U186" s="17"/>
    </row>
    <row r="187" spans="1:21" ht="22.05" customHeight="1" x14ac:dyDescent="0.4">
      <c r="A187" s="44"/>
      <c r="B187" s="48"/>
      <c r="C187" s="14"/>
      <c r="D187" s="15"/>
      <c r="E187" s="16"/>
      <c r="F187" s="17" t="str">
        <f>IFERROR(INDEX(참조데이터!$D$2:$D$6,MATCH($G187,참조데이터!$E$2:$E$6,0)),"")</f>
        <v/>
      </c>
      <c r="G187" s="23" t="str">
        <f>IF($D187="척도형",참조데이터!$E$2,"")</f>
        <v/>
      </c>
      <c r="H187" s="19" t="str">
        <f>IFERROR(INDEX(참조데이터!$D$2:$D$6,MATCH($I187,참조데이터!$E$2:$E$6,0)),"")</f>
        <v/>
      </c>
      <c r="I187" s="23" t="str">
        <f>IF($G187="","",MEDIAN(참조데이터!$H$1,참조데이터!$H$2,$G187+1*IF($G187=참조데이터!$H$1,1,-1)))</f>
        <v/>
      </c>
      <c r="J187" s="19" t="str">
        <f>IFERROR(INDEX(참조데이터!$D$2:$D$6,MATCH($K187,참조데이터!$E$2:$E$6,0)),"")</f>
        <v/>
      </c>
      <c r="K187" s="23" t="str">
        <f>IF($G187="","",MEDIAN(참조데이터!$H$1,참조데이터!$H$2,$G187+2*IF($G187=참조데이터!$H$1,1,-1)))</f>
        <v/>
      </c>
      <c r="L187" s="19" t="str">
        <f>IFERROR(INDEX(참조데이터!$D$2:$D$6,MATCH($M187,참조데이터!$E$2:$E$6,0)),"")</f>
        <v/>
      </c>
      <c r="M187" s="23" t="str">
        <f>IF($G187="","",MEDIAN(참조데이터!$H$1,참조데이터!$H$2,$G187+3*IF($G187=참조데이터!$H$1,1,-1)))</f>
        <v/>
      </c>
      <c r="N187" s="20" t="str">
        <f>IFERROR(INDEX(참조데이터!$D$2:$D$6,MATCH($O187,참조데이터!$E$2:$E$6,0)),"")</f>
        <v/>
      </c>
      <c r="O187" s="22" t="str">
        <f>IF($G187="","",MEDIAN(참조데이터!$H$1,참조데이터!$H$2,$G187+4*IF($G187=참조데이터!$H$1,1,-1)))</f>
        <v/>
      </c>
      <c r="P187" s="17"/>
      <c r="Q187" s="20"/>
      <c r="R187" s="24"/>
      <c r="S187" s="35" t="str">
        <f>IF($D187="","",IF($D187=참조데이터!$A$3,"",IFERROR(IF(VLOOKUP($D187,참조데이터!$A$1:$C$3,3,FALSE)="",1,VLOOKUP($D187,참조데이터!$A$1:$C$3,3,FALSE)),1)))</f>
        <v/>
      </c>
      <c r="T187" s="36" t="str">
        <f>IF($D187="","",IFERROR(VLOOKUP($D187,참조데이터!$A$9:$B$11,2,FALSE),""))</f>
        <v/>
      </c>
      <c r="U187" s="17"/>
    </row>
    <row r="188" spans="1:21" ht="22.05" customHeight="1" x14ac:dyDescent="0.4">
      <c r="A188" s="44"/>
      <c r="B188" s="48"/>
      <c r="C188" s="14"/>
      <c r="D188" s="15"/>
      <c r="E188" s="16"/>
      <c r="F188" s="17" t="str">
        <f>IFERROR(INDEX(참조데이터!$D$2:$D$6,MATCH($G188,참조데이터!$E$2:$E$6,0)),"")</f>
        <v/>
      </c>
      <c r="G188" s="23" t="str">
        <f>IF($D188="척도형",참조데이터!$E$2,"")</f>
        <v/>
      </c>
      <c r="H188" s="19" t="str">
        <f>IFERROR(INDEX(참조데이터!$D$2:$D$6,MATCH($I188,참조데이터!$E$2:$E$6,0)),"")</f>
        <v/>
      </c>
      <c r="I188" s="23" t="str">
        <f>IF($G188="","",MEDIAN(참조데이터!$H$1,참조데이터!$H$2,$G188+1*IF($G188=참조데이터!$H$1,1,-1)))</f>
        <v/>
      </c>
      <c r="J188" s="19" t="str">
        <f>IFERROR(INDEX(참조데이터!$D$2:$D$6,MATCH($K188,참조데이터!$E$2:$E$6,0)),"")</f>
        <v/>
      </c>
      <c r="K188" s="23" t="str">
        <f>IF($G188="","",MEDIAN(참조데이터!$H$1,참조데이터!$H$2,$G188+2*IF($G188=참조데이터!$H$1,1,-1)))</f>
        <v/>
      </c>
      <c r="L188" s="19" t="str">
        <f>IFERROR(INDEX(참조데이터!$D$2:$D$6,MATCH($M188,참조데이터!$E$2:$E$6,0)),"")</f>
        <v/>
      </c>
      <c r="M188" s="23" t="str">
        <f>IF($G188="","",MEDIAN(참조데이터!$H$1,참조데이터!$H$2,$G188+3*IF($G188=참조데이터!$H$1,1,-1)))</f>
        <v/>
      </c>
      <c r="N188" s="20" t="str">
        <f>IFERROR(INDEX(참조데이터!$D$2:$D$6,MATCH($O188,참조데이터!$E$2:$E$6,0)),"")</f>
        <v/>
      </c>
      <c r="O188" s="22" t="str">
        <f>IF($G188="","",MEDIAN(참조데이터!$H$1,참조데이터!$H$2,$G188+4*IF($G188=참조데이터!$H$1,1,-1)))</f>
        <v/>
      </c>
      <c r="P188" s="17"/>
      <c r="Q188" s="20"/>
      <c r="R188" s="24"/>
      <c r="S188" s="35" t="str">
        <f>IF($D188="","",IF($D188=참조데이터!$A$3,"",IFERROR(IF(VLOOKUP($D188,참조데이터!$A$1:$C$3,3,FALSE)="",1,VLOOKUP($D188,참조데이터!$A$1:$C$3,3,FALSE)),1)))</f>
        <v/>
      </c>
      <c r="T188" s="36" t="str">
        <f>IF($D188="","",IFERROR(VLOOKUP($D188,참조데이터!$A$9:$B$11,2,FALSE),""))</f>
        <v/>
      </c>
      <c r="U188" s="17"/>
    </row>
    <row r="189" spans="1:21" ht="22.05" customHeight="1" x14ac:dyDescent="0.4">
      <c r="A189" s="44"/>
      <c r="B189" s="48"/>
      <c r="C189" s="14"/>
      <c r="D189" s="15"/>
      <c r="E189" s="16"/>
      <c r="F189" s="17" t="str">
        <f>IFERROR(INDEX(참조데이터!$D$2:$D$6,MATCH($G189,참조데이터!$E$2:$E$6,0)),"")</f>
        <v/>
      </c>
      <c r="G189" s="23" t="str">
        <f>IF($D189="척도형",참조데이터!$E$2,"")</f>
        <v/>
      </c>
      <c r="H189" s="19" t="str">
        <f>IFERROR(INDEX(참조데이터!$D$2:$D$6,MATCH($I189,참조데이터!$E$2:$E$6,0)),"")</f>
        <v/>
      </c>
      <c r="I189" s="23" t="str">
        <f>IF($G189="","",MEDIAN(참조데이터!$H$1,참조데이터!$H$2,$G189+1*IF($G189=참조데이터!$H$1,1,-1)))</f>
        <v/>
      </c>
      <c r="J189" s="19" t="str">
        <f>IFERROR(INDEX(참조데이터!$D$2:$D$6,MATCH($K189,참조데이터!$E$2:$E$6,0)),"")</f>
        <v/>
      </c>
      <c r="K189" s="23" t="str">
        <f>IF($G189="","",MEDIAN(참조데이터!$H$1,참조데이터!$H$2,$G189+2*IF($G189=참조데이터!$H$1,1,-1)))</f>
        <v/>
      </c>
      <c r="L189" s="19" t="str">
        <f>IFERROR(INDEX(참조데이터!$D$2:$D$6,MATCH($M189,참조데이터!$E$2:$E$6,0)),"")</f>
        <v/>
      </c>
      <c r="M189" s="23" t="str">
        <f>IF($G189="","",MEDIAN(참조데이터!$H$1,참조데이터!$H$2,$G189+3*IF($G189=참조데이터!$H$1,1,-1)))</f>
        <v/>
      </c>
      <c r="N189" s="20" t="str">
        <f>IFERROR(INDEX(참조데이터!$D$2:$D$6,MATCH($O189,참조데이터!$E$2:$E$6,0)),"")</f>
        <v/>
      </c>
      <c r="O189" s="22" t="str">
        <f>IF($G189="","",MEDIAN(참조데이터!$H$1,참조데이터!$H$2,$G189+4*IF($G189=참조데이터!$H$1,1,-1)))</f>
        <v/>
      </c>
      <c r="P189" s="17"/>
      <c r="Q189" s="20"/>
      <c r="R189" s="24"/>
      <c r="S189" s="35" t="str">
        <f>IF($D189="","",IF($D189=참조데이터!$A$3,"",IFERROR(IF(VLOOKUP($D189,참조데이터!$A$1:$C$3,3,FALSE)="",1,VLOOKUP($D189,참조데이터!$A$1:$C$3,3,FALSE)),1)))</f>
        <v/>
      </c>
      <c r="T189" s="36" t="str">
        <f>IF($D189="","",IFERROR(VLOOKUP($D189,참조데이터!$A$9:$B$11,2,FALSE),""))</f>
        <v/>
      </c>
      <c r="U189" s="17"/>
    </row>
    <row r="190" spans="1:21" ht="22.05" customHeight="1" x14ac:dyDescent="0.4">
      <c r="A190" s="44"/>
      <c r="B190" s="48"/>
      <c r="C190" s="14"/>
      <c r="D190" s="15"/>
      <c r="E190" s="16"/>
      <c r="F190" s="17" t="str">
        <f>IFERROR(INDEX(참조데이터!$D$2:$D$6,MATCH($G190,참조데이터!$E$2:$E$6,0)),"")</f>
        <v/>
      </c>
      <c r="G190" s="23" t="str">
        <f>IF($D190="척도형",참조데이터!$E$2,"")</f>
        <v/>
      </c>
      <c r="H190" s="19" t="str">
        <f>IFERROR(INDEX(참조데이터!$D$2:$D$6,MATCH($I190,참조데이터!$E$2:$E$6,0)),"")</f>
        <v/>
      </c>
      <c r="I190" s="23" t="str">
        <f>IF($G190="","",MEDIAN(참조데이터!$H$1,참조데이터!$H$2,$G190+1*IF($G190=참조데이터!$H$1,1,-1)))</f>
        <v/>
      </c>
      <c r="J190" s="19" t="str">
        <f>IFERROR(INDEX(참조데이터!$D$2:$D$6,MATCH($K190,참조데이터!$E$2:$E$6,0)),"")</f>
        <v/>
      </c>
      <c r="K190" s="23" t="str">
        <f>IF($G190="","",MEDIAN(참조데이터!$H$1,참조데이터!$H$2,$G190+2*IF($G190=참조데이터!$H$1,1,-1)))</f>
        <v/>
      </c>
      <c r="L190" s="19" t="str">
        <f>IFERROR(INDEX(참조데이터!$D$2:$D$6,MATCH($M190,참조데이터!$E$2:$E$6,0)),"")</f>
        <v/>
      </c>
      <c r="M190" s="23" t="str">
        <f>IF($G190="","",MEDIAN(참조데이터!$H$1,참조데이터!$H$2,$G190+3*IF($G190=참조데이터!$H$1,1,-1)))</f>
        <v/>
      </c>
      <c r="N190" s="20" t="str">
        <f>IFERROR(INDEX(참조데이터!$D$2:$D$6,MATCH($O190,참조데이터!$E$2:$E$6,0)),"")</f>
        <v/>
      </c>
      <c r="O190" s="22" t="str">
        <f>IF($G190="","",MEDIAN(참조데이터!$H$1,참조데이터!$H$2,$G190+4*IF($G190=참조데이터!$H$1,1,-1)))</f>
        <v/>
      </c>
      <c r="P190" s="17"/>
      <c r="Q190" s="20"/>
      <c r="R190" s="24"/>
      <c r="S190" s="35" t="str">
        <f>IF($D190="","",IF($D190=참조데이터!$A$3,"",IFERROR(IF(VLOOKUP($D190,참조데이터!$A$1:$C$3,3,FALSE)="",1,VLOOKUP($D190,참조데이터!$A$1:$C$3,3,FALSE)),1)))</f>
        <v/>
      </c>
      <c r="T190" s="36" t="str">
        <f>IF($D190="","",IFERROR(VLOOKUP($D190,참조데이터!$A$9:$B$11,2,FALSE),""))</f>
        <v/>
      </c>
      <c r="U190" s="17"/>
    </row>
    <row r="191" spans="1:21" ht="22.05" customHeight="1" x14ac:dyDescent="0.4">
      <c r="A191" s="44"/>
      <c r="B191" s="48"/>
      <c r="C191" s="14"/>
      <c r="D191" s="15"/>
      <c r="E191" s="16"/>
      <c r="F191" s="17" t="str">
        <f>IFERROR(INDEX(참조데이터!$D$2:$D$6,MATCH($G191,참조데이터!$E$2:$E$6,0)),"")</f>
        <v/>
      </c>
      <c r="G191" s="23" t="str">
        <f>IF($D191="척도형",참조데이터!$E$2,"")</f>
        <v/>
      </c>
      <c r="H191" s="19" t="str">
        <f>IFERROR(INDEX(참조데이터!$D$2:$D$6,MATCH($I191,참조데이터!$E$2:$E$6,0)),"")</f>
        <v/>
      </c>
      <c r="I191" s="23" t="str">
        <f>IF($G191="","",MEDIAN(참조데이터!$H$1,참조데이터!$H$2,$G191+1*IF($G191=참조데이터!$H$1,1,-1)))</f>
        <v/>
      </c>
      <c r="J191" s="19" t="str">
        <f>IFERROR(INDEX(참조데이터!$D$2:$D$6,MATCH($K191,참조데이터!$E$2:$E$6,0)),"")</f>
        <v/>
      </c>
      <c r="K191" s="23" t="str">
        <f>IF($G191="","",MEDIAN(참조데이터!$H$1,참조데이터!$H$2,$G191+2*IF($G191=참조데이터!$H$1,1,-1)))</f>
        <v/>
      </c>
      <c r="L191" s="19" t="str">
        <f>IFERROR(INDEX(참조데이터!$D$2:$D$6,MATCH($M191,참조데이터!$E$2:$E$6,0)),"")</f>
        <v/>
      </c>
      <c r="M191" s="23" t="str">
        <f>IF($G191="","",MEDIAN(참조데이터!$H$1,참조데이터!$H$2,$G191+3*IF($G191=참조데이터!$H$1,1,-1)))</f>
        <v/>
      </c>
      <c r="N191" s="20" t="str">
        <f>IFERROR(INDEX(참조데이터!$D$2:$D$6,MATCH($O191,참조데이터!$E$2:$E$6,0)),"")</f>
        <v/>
      </c>
      <c r="O191" s="22" t="str">
        <f>IF($G191="","",MEDIAN(참조데이터!$H$1,참조데이터!$H$2,$G191+4*IF($G191=참조데이터!$H$1,1,-1)))</f>
        <v/>
      </c>
      <c r="P191" s="17"/>
      <c r="Q191" s="20"/>
      <c r="R191" s="24"/>
      <c r="S191" s="35" t="str">
        <f>IF($D191="","",IF($D191=참조데이터!$A$3,"",IFERROR(IF(VLOOKUP($D191,참조데이터!$A$1:$C$3,3,FALSE)="",1,VLOOKUP($D191,참조데이터!$A$1:$C$3,3,FALSE)),1)))</f>
        <v/>
      </c>
      <c r="T191" s="36" t="str">
        <f>IF($D191="","",IFERROR(VLOOKUP($D191,참조데이터!$A$9:$B$11,2,FALSE),""))</f>
        <v/>
      </c>
      <c r="U191" s="17"/>
    </row>
    <row r="192" spans="1:21" ht="22.05" customHeight="1" x14ac:dyDescent="0.4">
      <c r="A192" s="44"/>
      <c r="B192" s="48"/>
      <c r="C192" s="14"/>
      <c r="D192" s="15"/>
      <c r="E192" s="16"/>
      <c r="F192" s="17" t="str">
        <f>IFERROR(INDEX(참조데이터!$D$2:$D$6,MATCH($G192,참조데이터!$E$2:$E$6,0)),"")</f>
        <v/>
      </c>
      <c r="G192" s="23" t="str">
        <f>IF($D192="척도형",참조데이터!$E$2,"")</f>
        <v/>
      </c>
      <c r="H192" s="19" t="str">
        <f>IFERROR(INDEX(참조데이터!$D$2:$D$6,MATCH($I192,참조데이터!$E$2:$E$6,0)),"")</f>
        <v/>
      </c>
      <c r="I192" s="23" t="str">
        <f>IF($G192="","",MEDIAN(참조데이터!$H$1,참조데이터!$H$2,$G192+1*IF($G192=참조데이터!$H$1,1,-1)))</f>
        <v/>
      </c>
      <c r="J192" s="19" t="str">
        <f>IFERROR(INDEX(참조데이터!$D$2:$D$6,MATCH($K192,참조데이터!$E$2:$E$6,0)),"")</f>
        <v/>
      </c>
      <c r="K192" s="23" t="str">
        <f>IF($G192="","",MEDIAN(참조데이터!$H$1,참조데이터!$H$2,$G192+2*IF($G192=참조데이터!$H$1,1,-1)))</f>
        <v/>
      </c>
      <c r="L192" s="19" t="str">
        <f>IFERROR(INDEX(참조데이터!$D$2:$D$6,MATCH($M192,참조데이터!$E$2:$E$6,0)),"")</f>
        <v/>
      </c>
      <c r="M192" s="23" t="str">
        <f>IF($G192="","",MEDIAN(참조데이터!$H$1,참조데이터!$H$2,$G192+3*IF($G192=참조데이터!$H$1,1,-1)))</f>
        <v/>
      </c>
      <c r="N192" s="20" t="str">
        <f>IFERROR(INDEX(참조데이터!$D$2:$D$6,MATCH($O192,참조데이터!$E$2:$E$6,0)),"")</f>
        <v/>
      </c>
      <c r="O192" s="22" t="str">
        <f>IF($G192="","",MEDIAN(참조데이터!$H$1,참조데이터!$H$2,$G192+4*IF($G192=참조데이터!$H$1,1,-1)))</f>
        <v/>
      </c>
      <c r="P192" s="17"/>
      <c r="Q192" s="20"/>
      <c r="R192" s="24"/>
      <c r="S192" s="35" t="str">
        <f>IF($D192="","",IF($D192=참조데이터!$A$3,"",IFERROR(IF(VLOOKUP($D192,참조데이터!$A$1:$C$3,3,FALSE)="",1,VLOOKUP($D192,참조데이터!$A$1:$C$3,3,FALSE)),1)))</f>
        <v/>
      </c>
      <c r="T192" s="36" t="str">
        <f>IF($D192="","",IFERROR(VLOOKUP($D192,참조데이터!$A$9:$B$11,2,FALSE),""))</f>
        <v/>
      </c>
      <c r="U192" s="17"/>
    </row>
    <row r="193" spans="1:21" ht="22.05" customHeight="1" x14ac:dyDescent="0.4">
      <c r="A193" s="44"/>
      <c r="B193" s="48"/>
      <c r="C193" s="14"/>
      <c r="D193" s="15"/>
      <c r="E193" s="16"/>
      <c r="F193" s="17" t="str">
        <f>IFERROR(INDEX(참조데이터!$D$2:$D$6,MATCH($G193,참조데이터!$E$2:$E$6,0)),"")</f>
        <v/>
      </c>
      <c r="G193" s="23" t="str">
        <f>IF($D193="척도형",참조데이터!$E$2,"")</f>
        <v/>
      </c>
      <c r="H193" s="19" t="str">
        <f>IFERROR(INDEX(참조데이터!$D$2:$D$6,MATCH($I193,참조데이터!$E$2:$E$6,0)),"")</f>
        <v/>
      </c>
      <c r="I193" s="23" t="str">
        <f>IF($G193="","",MEDIAN(참조데이터!$H$1,참조데이터!$H$2,$G193+1*IF($G193=참조데이터!$H$1,1,-1)))</f>
        <v/>
      </c>
      <c r="J193" s="19" t="str">
        <f>IFERROR(INDEX(참조데이터!$D$2:$D$6,MATCH($K193,참조데이터!$E$2:$E$6,0)),"")</f>
        <v/>
      </c>
      <c r="K193" s="23" t="str">
        <f>IF($G193="","",MEDIAN(참조데이터!$H$1,참조데이터!$H$2,$G193+2*IF($G193=참조데이터!$H$1,1,-1)))</f>
        <v/>
      </c>
      <c r="L193" s="19" t="str">
        <f>IFERROR(INDEX(참조데이터!$D$2:$D$6,MATCH($M193,참조데이터!$E$2:$E$6,0)),"")</f>
        <v/>
      </c>
      <c r="M193" s="23" t="str">
        <f>IF($G193="","",MEDIAN(참조데이터!$H$1,참조데이터!$H$2,$G193+3*IF($G193=참조데이터!$H$1,1,-1)))</f>
        <v/>
      </c>
      <c r="N193" s="20" t="str">
        <f>IFERROR(INDEX(참조데이터!$D$2:$D$6,MATCH($O193,참조데이터!$E$2:$E$6,0)),"")</f>
        <v/>
      </c>
      <c r="O193" s="22" t="str">
        <f>IF($G193="","",MEDIAN(참조데이터!$H$1,참조데이터!$H$2,$G193+4*IF($G193=참조데이터!$H$1,1,-1)))</f>
        <v/>
      </c>
      <c r="P193" s="17"/>
      <c r="Q193" s="20"/>
      <c r="R193" s="24"/>
      <c r="S193" s="35" t="str">
        <f>IF($D193="","",IF($D193=참조데이터!$A$3,"",IFERROR(IF(VLOOKUP($D193,참조데이터!$A$1:$C$3,3,FALSE)="",1,VLOOKUP($D193,참조데이터!$A$1:$C$3,3,FALSE)),1)))</f>
        <v/>
      </c>
      <c r="T193" s="36" t="str">
        <f>IF($D193="","",IFERROR(VLOOKUP($D193,참조데이터!$A$9:$B$11,2,FALSE),""))</f>
        <v/>
      </c>
      <c r="U193" s="17"/>
    </row>
    <row r="194" spans="1:21" ht="22.05" customHeight="1" x14ac:dyDescent="0.4">
      <c r="A194" s="44"/>
      <c r="B194" s="48"/>
      <c r="C194" s="14"/>
      <c r="D194" s="15"/>
      <c r="E194" s="16"/>
      <c r="F194" s="17" t="str">
        <f>IFERROR(INDEX(참조데이터!$D$2:$D$6,MATCH($G194,참조데이터!$E$2:$E$6,0)),"")</f>
        <v/>
      </c>
      <c r="G194" s="23" t="str">
        <f>IF($D194="척도형",참조데이터!$E$2,"")</f>
        <v/>
      </c>
      <c r="H194" s="19" t="str">
        <f>IFERROR(INDEX(참조데이터!$D$2:$D$6,MATCH($I194,참조데이터!$E$2:$E$6,0)),"")</f>
        <v/>
      </c>
      <c r="I194" s="23" t="str">
        <f>IF($G194="","",MEDIAN(참조데이터!$H$1,참조데이터!$H$2,$G194+1*IF($G194=참조데이터!$H$1,1,-1)))</f>
        <v/>
      </c>
      <c r="J194" s="19" t="str">
        <f>IFERROR(INDEX(참조데이터!$D$2:$D$6,MATCH($K194,참조데이터!$E$2:$E$6,0)),"")</f>
        <v/>
      </c>
      <c r="K194" s="23" t="str">
        <f>IF($G194="","",MEDIAN(참조데이터!$H$1,참조데이터!$H$2,$G194+2*IF($G194=참조데이터!$H$1,1,-1)))</f>
        <v/>
      </c>
      <c r="L194" s="19" t="str">
        <f>IFERROR(INDEX(참조데이터!$D$2:$D$6,MATCH($M194,참조데이터!$E$2:$E$6,0)),"")</f>
        <v/>
      </c>
      <c r="M194" s="23" t="str">
        <f>IF($G194="","",MEDIAN(참조데이터!$H$1,참조데이터!$H$2,$G194+3*IF($G194=참조데이터!$H$1,1,-1)))</f>
        <v/>
      </c>
      <c r="N194" s="20" t="str">
        <f>IFERROR(INDEX(참조데이터!$D$2:$D$6,MATCH($O194,참조데이터!$E$2:$E$6,0)),"")</f>
        <v/>
      </c>
      <c r="O194" s="22" t="str">
        <f>IF($G194="","",MEDIAN(참조데이터!$H$1,참조데이터!$H$2,$G194+4*IF($G194=참조데이터!$H$1,1,-1)))</f>
        <v/>
      </c>
      <c r="P194" s="17"/>
      <c r="Q194" s="20"/>
      <c r="R194" s="24"/>
      <c r="S194" s="35" t="str">
        <f>IF($D194="","",IF($D194=참조데이터!$A$3,"",IFERROR(IF(VLOOKUP($D194,참조데이터!$A$1:$C$3,3,FALSE)="",1,VLOOKUP($D194,참조데이터!$A$1:$C$3,3,FALSE)),1)))</f>
        <v/>
      </c>
      <c r="T194" s="36" t="str">
        <f>IF($D194="","",IFERROR(VLOOKUP($D194,참조데이터!$A$9:$B$11,2,FALSE),""))</f>
        <v/>
      </c>
      <c r="U194" s="17"/>
    </row>
    <row r="195" spans="1:21" ht="22.05" customHeight="1" x14ac:dyDescent="0.4">
      <c r="A195" s="44"/>
      <c r="B195" s="48"/>
      <c r="C195" s="14"/>
      <c r="D195" s="15"/>
      <c r="E195" s="16"/>
      <c r="F195" s="17" t="str">
        <f>IFERROR(INDEX(참조데이터!$D$2:$D$6,MATCH($G195,참조데이터!$E$2:$E$6,0)),"")</f>
        <v/>
      </c>
      <c r="G195" s="23" t="str">
        <f>IF($D195="척도형",참조데이터!$E$2,"")</f>
        <v/>
      </c>
      <c r="H195" s="19" t="str">
        <f>IFERROR(INDEX(참조데이터!$D$2:$D$6,MATCH($I195,참조데이터!$E$2:$E$6,0)),"")</f>
        <v/>
      </c>
      <c r="I195" s="23" t="str">
        <f>IF($G195="","",MEDIAN(참조데이터!$H$1,참조데이터!$H$2,$G195+1*IF($G195=참조데이터!$H$1,1,-1)))</f>
        <v/>
      </c>
      <c r="J195" s="19" t="str">
        <f>IFERROR(INDEX(참조데이터!$D$2:$D$6,MATCH($K195,참조데이터!$E$2:$E$6,0)),"")</f>
        <v/>
      </c>
      <c r="K195" s="23" t="str">
        <f>IF($G195="","",MEDIAN(참조데이터!$H$1,참조데이터!$H$2,$G195+2*IF($G195=참조데이터!$H$1,1,-1)))</f>
        <v/>
      </c>
      <c r="L195" s="19" t="str">
        <f>IFERROR(INDEX(참조데이터!$D$2:$D$6,MATCH($M195,참조데이터!$E$2:$E$6,0)),"")</f>
        <v/>
      </c>
      <c r="M195" s="23" t="str">
        <f>IF($G195="","",MEDIAN(참조데이터!$H$1,참조데이터!$H$2,$G195+3*IF($G195=참조데이터!$H$1,1,-1)))</f>
        <v/>
      </c>
      <c r="N195" s="20" t="str">
        <f>IFERROR(INDEX(참조데이터!$D$2:$D$6,MATCH($O195,참조데이터!$E$2:$E$6,0)),"")</f>
        <v/>
      </c>
      <c r="O195" s="22" t="str">
        <f>IF($G195="","",MEDIAN(참조데이터!$H$1,참조데이터!$H$2,$G195+4*IF($G195=참조데이터!$H$1,1,-1)))</f>
        <v/>
      </c>
      <c r="P195" s="17"/>
      <c r="Q195" s="20"/>
      <c r="R195" s="24"/>
      <c r="S195" s="35" t="str">
        <f>IF($D195="","",IF($D195=참조데이터!$A$3,"",IFERROR(IF(VLOOKUP($D195,참조데이터!$A$1:$C$3,3,FALSE)="",1,VLOOKUP($D195,참조데이터!$A$1:$C$3,3,FALSE)),1)))</f>
        <v/>
      </c>
      <c r="T195" s="36" t="str">
        <f>IF($D195="","",IFERROR(VLOOKUP($D195,참조데이터!$A$9:$B$11,2,FALSE),""))</f>
        <v/>
      </c>
      <c r="U195" s="17"/>
    </row>
    <row r="196" spans="1:21" ht="22.05" customHeight="1" x14ac:dyDescent="0.4">
      <c r="A196" s="44"/>
      <c r="B196" s="48"/>
      <c r="C196" s="14"/>
      <c r="D196" s="15"/>
      <c r="E196" s="16"/>
      <c r="F196" s="17" t="str">
        <f>IFERROR(INDEX(참조데이터!$D$2:$D$6,MATCH($G196,참조데이터!$E$2:$E$6,0)),"")</f>
        <v/>
      </c>
      <c r="G196" s="23" t="str">
        <f>IF($D196="척도형",참조데이터!$E$2,"")</f>
        <v/>
      </c>
      <c r="H196" s="19" t="str">
        <f>IFERROR(INDEX(참조데이터!$D$2:$D$6,MATCH($I196,참조데이터!$E$2:$E$6,0)),"")</f>
        <v/>
      </c>
      <c r="I196" s="23" t="str">
        <f>IF($G196="","",MEDIAN(참조데이터!$H$1,참조데이터!$H$2,$G196+1*IF($G196=참조데이터!$H$1,1,-1)))</f>
        <v/>
      </c>
      <c r="J196" s="19" t="str">
        <f>IFERROR(INDEX(참조데이터!$D$2:$D$6,MATCH($K196,참조데이터!$E$2:$E$6,0)),"")</f>
        <v/>
      </c>
      <c r="K196" s="23" t="str">
        <f>IF($G196="","",MEDIAN(참조데이터!$H$1,참조데이터!$H$2,$G196+2*IF($G196=참조데이터!$H$1,1,-1)))</f>
        <v/>
      </c>
      <c r="L196" s="19" t="str">
        <f>IFERROR(INDEX(참조데이터!$D$2:$D$6,MATCH($M196,참조데이터!$E$2:$E$6,0)),"")</f>
        <v/>
      </c>
      <c r="M196" s="23" t="str">
        <f>IF($G196="","",MEDIAN(참조데이터!$H$1,참조데이터!$H$2,$G196+3*IF($G196=참조데이터!$H$1,1,-1)))</f>
        <v/>
      </c>
      <c r="N196" s="20" t="str">
        <f>IFERROR(INDEX(참조데이터!$D$2:$D$6,MATCH($O196,참조데이터!$E$2:$E$6,0)),"")</f>
        <v/>
      </c>
      <c r="O196" s="22" t="str">
        <f>IF($G196="","",MEDIAN(참조데이터!$H$1,참조데이터!$H$2,$G196+4*IF($G196=참조데이터!$H$1,1,-1)))</f>
        <v/>
      </c>
      <c r="P196" s="17"/>
      <c r="Q196" s="20"/>
      <c r="R196" s="24"/>
      <c r="S196" s="35" t="str">
        <f>IF($D196="","",IF($D196=참조데이터!$A$3,"",IFERROR(IF(VLOOKUP($D196,참조데이터!$A$1:$C$3,3,FALSE)="",1,VLOOKUP($D196,참조데이터!$A$1:$C$3,3,FALSE)),1)))</f>
        <v/>
      </c>
      <c r="T196" s="36" t="str">
        <f>IF($D196="","",IFERROR(VLOOKUP($D196,참조데이터!$A$9:$B$11,2,FALSE),""))</f>
        <v/>
      </c>
      <c r="U196" s="17"/>
    </row>
    <row r="197" spans="1:21" ht="22.05" customHeight="1" x14ac:dyDescent="0.4">
      <c r="A197" s="44"/>
      <c r="B197" s="48"/>
      <c r="C197" s="14"/>
      <c r="D197" s="15"/>
      <c r="E197" s="16"/>
      <c r="F197" s="17" t="str">
        <f>IFERROR(INDEX(참조데이터!$D$2:$D$6,MATCH($G197,참조데이터!$E$2:$E$6,0)),"")</f>
        <v/>
      </c>
      <c r="G197" s="23" t="str">
        <f>IF($D197="척도형",참조데이터!$E$2,"")</f>
        <v/>
      </c>
      <c r="H197" s="19" t="str">
        <f>IFERROR(INDEX(참조데이터!$D$2:$D$6,MATCH($I197,참조데이터!$E$2:$E$6,0)),"")</f>
        <v/>
      </c>
      <c r="I197" s="23" t="str">
        <f>IF($G197="","",MEDIAN(참조데이터!$H$1,참조데이터!$H$2,$G197+1*IF($G197=참조데이터!$H$1,1,-1)))</f>
        <v/>
      </c>
      <c r="J197" s="19" t="str">
        <f>IFERROR(INDEX(참조데이터!$D$2:$D$6,MATCH($K197,참조데이터!$E$2:$E$6,0)),"")</f>
        <v/>
      </c>
      <c r="K197" s="23" t="str">
        <f>IF($G197="","",MEDIAN(참조데이터!$H$1,참조데이터!$H$2,$G197+2*IF($G197=참조데이터!$H$1,1,-1)))</f>
        <v/>
      </c>
      <c r="L197" s="19" t="str">
        <f>IFERROR(INDEX(참조데이터!$D$2:$D$6,MATCH($M197,참조데이터!$E$2:$E$6,0)),"")</f>
        <v/>
      </c>
      <c r="M197" s="23" t="str">
        <f>IF($G197="","",MEDIAN(참조데이터!$H$1,참조데이터!$H$2,$G197+3*IF($G197=참조데이터!$H$1,1,-1)))</f>
        <v/>
      </c>
      <c r="N197" s="20" t="str">
        <f>IFERROR(INDEX(참조데이터!$D$2:$D$6,MATCH($O197,참조데이터!$E$2:$E$6,0)),"")</f>
        <v/>
      </c>
      <c r="O197" s="22" t="str">
        <f>IF($G197="","",MEDIAN(참조데이터!$H$1,참조데이터!$H$2,$G197+4*IF($G197=참조데이터!$H$1,1,-1)))</f>
        <v/>
      </c>
      <c r="P197" s="17"/>
      <c r="Q197" s="20"/>
      <c r="R197" s="24"/>
      <c r="S197" s="35" t="str">
        <f>IF($D197="","",IF($D197=참조데이터!$A$3,"",IFERROR(IF(VLOOKUP($D197,참조데이터!$A$1:$C$3,3,FALSE)="",1,VLOOKUP($D197,참조데이터!$A$1:$C$3,3,FALSE)),1)))</f>
        <v/>
      </c>
      <c r="T197" s="36" t="str">
        <f>IF($D197="","",IFERROR(VLOOKUP($D197,참조데이터!$A$9:$B$11,2,FALSE),""))</f>
        <v/>
      </c>
      <c r="U197" s="17"/>
    </row>
    <row r="198" spans="1:21" ht="22.05" customHeight="1" x14ac:dyDescent="0.4">
      <c r="A198" s="44"/>
      <c r="B198" s="48"/>
      <c r="C198" s="14"/>
      <c r="D198" s="15"/>
      <c r="E198" s="16"/>
      <c r="F198" s="17" t="str">
        <f>IFERROR(INDEX(참조데이터!$D$2:$D$6,MATCH($G198,참조데이터!$E$2:$E$6,0)),"")</f>
        <v/>
      </c>
      <c r="G198" s="23" t="str">
        <f>IF($D198="척도형",참조데이터!$E$2,"")</f>
        <v/>
      </c>
      <c r="H198" s="19" t="str">
        <f>IFERROR(INDEX(참조데이터!$D$2:$D$6,MATCH($I198,참조데이터!$E$2:$E$6,0)),"")</f>
        <v/>
      </c>
      <c r="I198" s="23" t="str">
        <f>IF($G198="","",MEDIAN(참조데이터!$H$1,참조데이터!$H$2,$G198+1*IF($G198=참조데이터!$H$1,1,-1)))</f>
        <v/>
      </c>
      <c r="J198" s="19" t="str">
        <f>IFERROR(INDEX(참조데이터!$D$2:$D$6,MATCH($K198,참조데이터!$E$2:$E$6,0)),"")</f>
        <v/>
      </c>
      <c r="K198" s="23" t="str">
        <f>IF($G198="","",MEDIAN(참조데이터!$H$1,참조데이터!$H$2,$G198+2*IF($G198=참조데이터!$H$1,1,-1)))</f>
        <v/>
      </c>
      <c r="L198" s="19" t="str">
        <f>IFERROR(INDEX(참조데이터!$D$2:$D$6,MATCH($M198,참조데이터!$E$2:$E$6,0)),"")</f>
        <v/>
      </c>
      <c r="M198" s="23" t="str">
        <f>IF($G198="","",MEDIAN(참조데이터!$H$1,참조데이터!$H$2,$G198+3*IF($G198=참조데이터!$H$1,1,-1)))</f>
        <v/>
      </c>
      <c r="N198" s="20" t="str">
        <f>IFERROR(INDEX(참조데이터!$D$2:$D$6,MATCH($O198,참조데이터!$E$2:$E$6,0)),"")</f>
        <v/>
      </c>
      <c r="O198" s="22" t="str">
        <f>IF($G198="","",MEDIAN(참조데이터!$H$1,참조데이터!$H$2,$G198+4*IF($G198=참조데이터!$H$1,1,-1)))</f>
        <v/>
      </c>
      <c r="P198" s="17"/>
      <c r="Q198" s="20"/>
      <c r="R198" s="24"/>
      <c r="S198" s="35" t="str">
        <f>IF($D198="","",IF($D198=참조데이터!$A$3,"",IFERROR(IF(VLOOKUP($D198,참조데이터!$A$1:$C$3,3,FALSE)="",1,VLOOKUP($D198,참조데이터!$A$1:$C$3,3,FALSE)),1)))</f>
        <v/>
      </c>
      <c r="T198" s="36" t="str">
        <f>IF($D198="","",IFERROR(VLOOKUP($D198,참조데이터!$A$9:$B$11,2,FALSE),""))</f>
        <v/>
      </c>
      <c r="U198" s="17"/>
    </row>
    <row r="199" spans="1:21" ht="22.05" customHeight="1" x14ac:dyDescent="0.4">
      <c r="A199" s="44"/>
      <c r="B199" s="48"/>
      <c r="C199" s="14"/>
      <c r="D199" s="15"/>
      <c r="E199" s="16"/>
      <c r="F199" s="17" t="str">
        <f>IFERROR(INDEX(참조데이터!$D$2:$D$6,MATCH($G199,참조데이터!$E$2:$E$6,0)),"")</f>
        <v/>
      </c>
      <c r="G199" s="23" t="str">
        <f>IF($D199="척도형",참조데이터!$E$2,"")</f>
        <v/>
      </c>
      <c r="H199" s="19" t="str">
        <f>IFERROR(INDEX(참조데이터!$D$2:$D$6,MATCH($I199,참조데이터!$E$2:$E$6,0)),"")</f>
        <v/>
      </c>
      <c r="I199" s="23" t="str">
        <f>IF($G199="","",MEDIAN(참조데이터!$H$1,참조데이터!$H$2,$G199+1*IF($G199=참조데이터!$H$1,1,-1)))</f>
        <v/>
      </c>
      <c r="J199" s="19" t="str">
        <f>IFERROR(INDEX(참조데이터!$D$2:$D$6,MATCH($K199,참조데이터!$E$2:$E$6,0)),"")</f>
        <v/>
      </c>
      <c r="K199" s="23" t="str">
        <f>IF($G199="","",MEDIAN(참조데이터!$H$1,참조데이터!$H$2,$G199+2*IF($G199=참조데이터!$H$1,1,-1)))</f>
        <v/>
      </c>
      <c r="L199" s="19" t="str">
        <f>IFERROR(INDEX(참조데이터!$D$2:$D$6,MATCH($M199,참조데이터!$E$2:$E$6,0)),"")</f>
        <v/>
      </c>
      <c r="M199" s="23" t="str">
        <f>IF($G199="","",MEDIAN(참조데이터!$H$1,참조데이터!$H$2,$G199+3*IF($G199=참조데이터!$H$1,1,-1)))</f>
        <v/>
      </c>
      <c r="N199" s="20" t="str">
        <f>IFERROR(INDEX(참조데이터!$D$2:$D$6,MATCH($O199,참조데이터!$E$2:$E$6,0)),"")</f>
        <v/>
      </c>
      <c r="O199" s="22" t="str">
        <f>IF($G199="","",MEDIAN(참조데이터!$H$1,참조데이터!$H$2,$G199+4*IF($G199=참조데이터!$H$1,1,-1)))</f>
        <v/>
      </c>
      <c r="P199" s="17"/>
      <c r="Q199" s="20"/>
      <c r="R199" s="24"/>
      <c r="S199" s="35" t="str">
        <f>IF($D199="","",IF($D199=참조데이터!$A$3,"",IFERROR(IF(VLOOKUP($D199,참조데이터!$A$1:$C$3,3,FALSE)="",1,VLOOKUP($D199,참조데이터!$A$1:$C$3,3,FALSE)),1)))</f>
        <v/>
      </c>
      <c r="T199" s="36" t="str">
        <f>IF($D199="","",IFERROR(VLOOKUP($D199,참조데이터!$A$9:$B$11,2,FALSE),""))</f>
        <v/>
      </c>
      <c r="U199" s="17"/>
    </row>
    <row r="200" spans="1:21" ht="22.05" customHeight="1" x14ac:dyDescent="0.4">
      <c r="A200" s="44"/>
      <c r="B200" s="48"/>
      <c r="C200" s="14"/>
      <c r="D200" s="15"/>
      <c r="E200" s="16"/>
      <c r="F200" s="17" t="str">
        <f>IFERROR(INDEX(참조데이터!$D$2:$D$6,MATCH($G200,참조데이터!$E$2:$E$6,0)),"")</f>
        <v/>
      </c>
      <c r="G200" s="23" t="str">
        <f>IF($D200="척도형",참조데이터!$E$2,"")</f>
        <v/>
      </c>
      <c r="H200" s="19" t="str">
        <f>IFERROR(INDEX(참조데이터!$D$2:$D$6,MATCH($I200,참조데이터!$E$2:$E$6,0)),"")</f>
        <v/>
      </c>
      <c r="I200" s="23" t="str">
        <f>IF($G200="","",MEDIAN(참조데이터!$H$1,참조데이터!$H$2,$G200+1*IF($G200=참조데이터!$H$1,1,-1)))</f>
        <v/>
      </c>
      <c r="J200" s="19" t="str">
        <f>IFERROR(INDEX(참조데이터!$D$2:$D$6,MATCH($K200,참조데이터!$E$2:$E$6,0)),"")</f>
        <v/>
      </c>
      <c r="K200" s="23" t="str">
        <f>IF($G200="","",MEDIAN(참조데이터!$H$1,참조데이터!$H$2,$G200+2*IF($G200=참조데이터!$H$1,1,-1)))</f>
        <v/>
      </c>
      <c r="L200" s="19" t="str">
        <f>IFERROR(INDEX(참조데이터!$D$2:$D$6,MATCH($M200,참조데이터!$E$2:$E$6,0)),"")</f>
        <v/>
      </c>
      <c r="M200" s="23" t="str">
        <f>IF($G200="","",MEDIAN(참조데이터!$H$1,참조데이터!$H$2,$G200+3*IF($G200=참조데이터!$H$1,1,-1)))</f>
        <v/>
      </c>
      <c r="N200" s="20" t="str">
        <f>IFERROR(INDEX(참조데이터!$D$2:$D$6,MATCH($O200,참조데이터!$E$2:$E$6,0)),"")</f>
        <v/>
      </c>
      <c r="O200" s="22" t="str">
        <f>IF($G200="","",MEDIAN(참조데이터!$H$1,참조데이터!$H$2,$G200+4*IF($G200=참조데이터!$H$1,1,-1)))</f>
        <v/>
      </c>
      <c r="P200" s="17"/>
      <c r="Q200" s="20"/>
      <c r="R200" s="24"/>
      <c r="S200" s="35" t="str">
        <f>IF($D200="","",IF($D200=참조데이터!$A$3,"",IFERROR(IF(VLOOKUP($D200,참조데이터!$A$1:$C$3,3,FALSE)="",1,VLOOKUP($D200,참조데이터!$A$1:$C$3,3,FALSE)),1)))</f>
        <v/>
      </c>
      <c r="T200" s="36" t="str">
        <f>IF($D200="","",IFERROR(VLOOKUP($D200,참조데이터!$A$9:$B$11,2,FALSE),""))</f>
        <v/>
      </c>
      <c r="U200" s="17"/>
    </row>
  </sheetData>
  <sheetProtection sheet="1" objects="1" scenarios="1" insertRows="0" deleteRows="0" sort="0" autoFilter="0"/>
  <mergeCells count="4">
    <mergeCell ref="B1:C1"/>
    <mergeCell ref="D1:E1"/>
    <mergeCell ref="F1:O1"/>
    <mergeCell ref="P1:R1"/>
  </mergeCells>
  <phoneticPr fontId="1" type="noConversion"/>
  <conditionalFormatting sqref="A3:C6 B7:C8 A9:C200">
    <cfRule type="expression" dxfId="13" priority="22">
      <formula>AND(A3&lt;&gt;"",N(#REF!)&gt;0)</formula>
    </cfRule>
  </conditionalFormatting>
  <conditionalFormatting sqref="B3:B200">
    <cfRule type="expression" dxfId="12" priority="23">
      <formula>AND($D3&lt;&gt;"",B3="")</formula>
    </cfRule>
  </conditionalFormatting>
  <conditionalFormatting sqref="D3:D200">
    <cfRule type="expression" dxfId="11" priority="9">
      <formula>AND($D3="",COUNTA($A3:$C3)&gt;0)</formula>
    </cfRule>
  </conditionalFormatting>
  <conditionalFormatting sqref="E3:E200">
    <cfRule type="expression" dxfId="10" priority="6">
      <formula>AND($D3&lt;&gt;"",$D3&lt;&gt;"A/B 강제선택",E3="")</formula>
    </cfRule>
    <cfRule type="expression" dxfId="9" priority="21">
      <formula>$D3="A/B 강제선택"</formula>
    </cfRule>
  </conditionalFormatting>
  <conditionalFormatting sqref="F3:O200">
    <cfRule type="expression" dxfId="8" priority="3">
      <formula>AND($D3&lt;&gt;"",$D3&lt;&gt;"척도형")</formula>
    </cfRule>
    <cfRule type="expression" dxfId="7" priority="7">
      <formula>AND($D3="척도형",F3="")</formula>
    </cfRule>
  </conditionalFormatting>
  <conditionalFormatting sqref="P3:R200">
    <cfRule type="expression" dxfId="1" priority="19">
      <formula>AND($D3&lt;&gt;"",$D3&lt;&gt;"A/B 강제선택")</formula>
    </cfRule>
    <cfRule type="expression" dxfId="0" priority="20">
      <formula>AND($D3="A/B 강제선택",P3="")</formula>
    </cfRule>
  </conditionalFormatting>
  <dataValidations xWindow="341" yWindow="265" count="6">
    <dataValidation type="list" allowBlank="1" showErrorMessage="1" errorTitle="입력 오류" error="목록에서 질문유형을 선택하세요." sqref="D198:D998" xr:uid="{00000000-0002-0000-0000-000000000000}">
      <formula1>QuestionTypes</formula1>
    </dataValidation>
    <dataValidation type="list" allowBlank="1" showErrorMessage="1" errorTitle="입력 오류" error="목록에서 점수방향을 선택하세요." sqref="R198:R998 S201:T998" xr:uid="{00000000-0002-0000-0000-000001000000}">
      <formula1>ScoreDirections</formula1>
    </dataValidation>
    <dataValidation type="textLength" operator="lessThanOrEqual" allowBlank="1" showErrorMessage="1" errorTitle="글자수 초과" error="최대 30자까지 입력 가능합니다. 입력하신 내용이 너무 깁니다." sqref="N3:N200 F3:F200 H3:H200 J3:J200 L3:L200" xr:uid="{C7A5C732-33F9-421B-927B-E95AAE5CD8CD}">
      <formula1>30</formula1>
    </dataValidation>
    <dataValidation type="textLength" operator="lessThanOrEqual" allowBlank="1" showInputMessage="1" showErrorMessage="1" errorTitle="글자수 초과" error="최대 300자까지 입력 가능합니다. 입력하신 내용이 너무 깁니다." sqref="E3:E200" xr:uid="{120AE1F9-217D-4F3C-9098-2826F85F56FB}">
      <formula1>300</formula1>
    </dataValidation>
    <dataValidation type="textLength" operator="lessThanOrEqual" allowBlank="1" showInputMessage="1" showErrorMessage="1" errorTitle="글자수 초과" error="최대 150자까지 입력 가능합니다. 입력하신 내용이 너무 깁니다." sqref="P3:Q200" xr:uid="{7791E9CE-BE28-4134-AD42-EBE5BDCA7C04}">
      <formula1>150</formula1>
    </dataValidation>
    <dataValidation type="textLength" operator="lessThanOrEqual" allowBlank="1" showInputMessage="1" showErrorMessage="1" errorTitle="글자수 초과" error="최대 15자까지 입력 가능합니다. 입력하신 내용이 너무 깁니다." sqref="A3:C200" xr:uid="{F0D6F400-B222-4E52-B859-CB96F74C0E3D}">
      <formula1>15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82939DFD-F12D-46A4-A2BF-BE6064FB187A}">
            <xm:f>AND($D3="척도형",G3&lt;&gt;"",OR(G3&lt;참조데이터!$H$1,G3&gt;참조데이터!$H$2))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G3:G200</xm:sqref>
        </x14:conditionalFormatting>
        <x14:conditionalFormatting xmlns:xm="http://schemas.microsoft.com/office/excel/2006/main">
          <x14:cfRule type="expression" priority="11" id="{603B5556-9E13-4712-856E-ABEADE9C92B4}">
            <xm:f>AND($D3="척도형",I3&lt;&gt;"",OR(I3&lt;참조데이터!$H$1,I3&gt;참조데이터!$H$2))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I3:I200</xm:sqref>
        </x14:conditionalFormatting>
        <x14:conditionalFormatting xmlns:xm="http://schemas.microsoft.com/office/excel/2006/main">
          <x14:cfRule type="expression" priority="12" id="{82B407D9-6D3E-4E68-81F4-9BC1B858354A}">
            <xm:f>AND($D3="척도형",K3&lt;&gt;"",OR(K3&lt;참조데이터!$H$1,K3&gt;참조데이터!$H$2))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K3:K200</xm:sqref>
        </x14:conditionalFormatting>
        <x14:conditionalFormatting xmlns:xm="http://schemas.microsoft.com/office/excel/2006/main">
          <x14:cfRule type="expression" priority="13" id="{A0D20158-2F6F-4D7E-AD04-EB51946E65A8}">
            <xm:f>AND($D3="척도형",M3&lt;&gt;"",OR(M3&lt;참조데이터!$H$1,M3&gt;참조데이터!$H$2))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M3:M200</xm:sqref>
        </x14:conditionalFormatting>
        <x14:conditionalFormatting xmlns:xm="http://schemas.microsoft.com/office/excel/2006/main">
          <x14:cfRule type="expression" priority="14" id="{A16BDE4B-B92B-4E12-B734-27FE81A65D6C}">
            <xm:f>AND($D3="척도형",O3&lt;&gt;"",OR(O3&lt;참조데이터!$H$1,O3&gt;참조데이터!$H$2))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O3:O200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341" yWindow="265" count="3">
        <x14:dataValidation type="list" allowBlank="1" showInputMessage="1" showErrorMessage="1" xr:uid="{7B975416-4D2F-4A8D-9613-8E7CD63B36E7}">
          <x14:formula1>
            <xm:f>참조데이터!$A$1:$A$3</xm:f>
          </x14:formula1>
          <xm:sqref>D3:D197</xm:sqref>
        </x14:dataValidation>
        <x14:dataValidation type="list" allowBlank="1" showInputMessage="1" showErrorMessage="1" xr:uid="{BF82D2FC-1896-4C36-AE7B-2A0F17DD2631}">
          <x14:formula1>
            <xm:f>참조데이터!$B$1:$B$2</xm:f>
          </x14:formula1>
          <xm:sqref>R3:R197</xm:sqref>
        </x14:dataValidation>
        <x14:dataValidation type="whole" allowBlank="1" showInputMessage="1" showErrorMessage="1" errorTitle="점수 범위 오류" error="척도형 점수는 1~5 사이의 정수만 입력할 수 있습니다." xr:uid="{86D30E6E-FF90-4B4D-BBF6-58E12549F954}">
          <x14:formula1>
            <xm:f>참조데이터!$H$1</xm:f>
          </x14:formula1>
          <x14:formula2>
            <xm:f>참조데이터!$H$2</xm:f>
          </x14:formula2>
          <xm:sqref>O3:O197 M3:M197 K3:K197 I3:I197 G3:G197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C8" sqref="C8"/>
    </sheetView>
  </sheetViews>
  <sheetFormatPr defaultRowHeight="17.399999999999999" x14ac:dyDescent="0.4"/>
  <cols>
    <col min="1" max="1" width="13.796875" customWidth="1"/>
    <col min="2" max="2" width="16.09765625" customWidth="1"/>
    <col min="3" max="3" width="11.296875" customWidth="1"/>
    <col min="4" max="4" width="14.3984375" customWidth="1"/>
    <col min="5" max="5" width="13.796875" customWidth="1"/>
    <col min="7" max="7" width="30.3984375" bestFit="1" customWidth="1"/>
    <col min="8" max="8" width="13.09765625" customWidth="1"/>
  </cols>
  <sheetData>
    <row r="1" spans="1:8" x14ac:dyDescent="0.4">
      <c r="A1" t="s">
        <v>8</v>
      </c>
      <c r="B1" t="s">
        <v>27</v>
      </c>
      <c r="C1" s="2">
        <v>1</v>
      </c>
      <c r="D1" s="1" t="s">
        <v>31</v>
      </c>
      <c r="E1" s="1" t="s">
        <v>32</v>
      </c>
      <c r="G1" t="s">
        <v>33</v>
      </c>
      <c r="H1">
        <v>1</v>
      </c>
    </row>
    <row r="2" spans="1:8" x14ac:dyDescent="0.4">
      <c r="A2" t="s">
        <v>24</v>
      </c>
      <c r="B2" t="s">
        <v>30</v>
      </c>
      <c r="C2" s="2">
        <f>$H$2/$H$3</f>
        <v>0.83333333333333337</v>
      </c>
      <c r="D2" t="s">
        <v>10</v>
      </c>
      <c r="E2">
        <v>5</v>
      </c>
      <c r="G2" t="s">
        <v>34</v>
      </c>
      <c r="H2">
        <v>5</v>
      </c>
    </row>
    <row r="3" spans="1:8" x14ac:dyDescent="0.4">
      <c r="A3" t="s">
        <v>28</v>
      </c>
      <c r="C3" s="2"/>
      <c r="D3" t="s">
        <v>11</v>
      </c>
      <c r="E3">
        <v>4</v>
      </c>
      <c r="G3" t="s">
        <v>59</v>
      </c>
      <c r="H3">
        <v>6</v>
      </c>
    </row>
    <row r="4" spans="1:8" x14ac:dyDescent="0.4">
      <c r="D4" t="s">
        <v>12</v>
      </c>
      <c r="E4">
        <v>3</v>
      </c>
    </row>
    <row r="5" spans="1:8" x14ac:dyDescent="0.4">
      <c r="D5" t="s">
        <v>13</v>
      </c>
      <c r="E5">
        <v>2</v>
      </c>
    </row>
    <row r="6" spans="1:8" x14ac:dyDescent="0.4">
      <c r="D6" t="s">
        <v>14</v>
      </c>
      <c r="E6">
        <v>1</v>
      </c>
    </row>
    <row r="8" spans="1:8" x14ac:dyDescent="0.4">
      <c r="A8" s="25" t="s">
        <v>70</v>
      </c>
      <c r="B8" s="25" t="s">
        <v>66</v>
      </c>
      <c r="D8" t="s">
        <v>73</v>
      </c>
    </row>
    <row r="9" spans="1:8" x14ac:dyDescent="0.4">
      <c r="A9" t="str">
        <f>A1</f>
        <v>척도형</v>
      </c>
      <c r="B9" t="s">
        <v>67</v>
      </c>
      <c r="D9" t="s">
        <v>74</v>
      </c>
    </row>
    <row r="10" spans="1:8" x14ac:dyDescent="0.4">
      <c r="A10" t="str">
        <f>A2</f>
        <v>A/B 강제선택</v>
      </c>
      <c r="B10" t="s">
        <v>68</v>
      </c>
      <c r="D10" t="s">
        <v>75</v>
      </c>
    </row>
    <row r="11" spans="1:8" x14ac:dyDescent="0.4">
      <c r="A11" t="str">
        <f>A3</f>
        <v>서술형</v>
      </c>
      <c r="B11" t="s">
        <v>69</v>
      </c>
      <c r="D11" t="s">
        <v>76</v>
      </c>
    </row>
    <row r="12" spans="1:8" x14ac:dyDescent="0.4">
      <c r="D12" t="s">
        <v>77</v>
      </c>
    </row>
    <row r="13" spans="1:8" x14ac:dyDescent="0.4">
      <c r="D13" t="s">
        <v>78</v>
      </c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사용법</vt:lpstr>
      <vt:lpstr>진단 일괄 등록</vt:lpstr>
      <vt:lpstr>참조데이터</vt:lpstr>
      <vt:lpstr>QuestionTypes</vt:lpstr>
      <vt:lpstr>ScoreDirections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강은 이</cp:lastModifiedBy>
  <dcterms:created xsi:type="dcterms:W3CDTF">2026-07-29T01:37:41Z</dcterms:created>
  <dcterms:modified xsi:type="dcterms:W3CDTF">2026-09-29T04:30:05Z</dcterms:modified>
</cp:coreProperties>
</file>